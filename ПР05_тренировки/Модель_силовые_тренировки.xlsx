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дель" sheetId="1" state="visible" r:id="rId1"/>
    <sheet name="Упражнения" sheetId="2" state="visible" r:id="rId2"/>
    <sheet name="Тренировки" sheetId="3" state="visible" r:id="rId3"/>
    <sheet name="Итог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2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2" fillId="0" borderId="1" pivotButton="0" quotePrefix="0" xfId="0"/>
    <xf numFmtId="0" fontId="1" fillId="0" borderId="0" pivotButton="0" quotePrefix="0" xfId="0"/>
    <xf numFmtId="3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Тоннаж по неделям, кг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'Итоги'!C23</f>
            </strRef>
          </tx>
          <spPr>
            <a:ln>
              <a:prstDash val="solid"/>
            </a:ln>
          </spPr>
          <cat>
            <numRef>
              <f>'Итоги'!$A$24:$A$29</f>
            </numRef>
          </cat>
          <val>
            <numRef>
              <f>'Итоги'!$C$24:$C$29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Неделя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Тоннаж, кг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Рост рабочего веса в приседаниях, кг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'Итоги'!E23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'Итоги'!$A$24:$A$29</f>
            </numRef>
          </cat>
          <val>
            <numRef>
              <f>'Итоги'!$E$24:$E$29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Неделя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Вес, кг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95" customWidth="1" min="1" max="1"/>
    <col width="16" customWidth="1" min="2" max="2"/>
  </cols>
  <sheetData>
    <row r="1">
      <c r="A1" s="1" t="inlineStr">
        <is>
          <t>Информационная модель «Личные силовые тренировки»</t>
        </is>
      </c>
    </row>
    <row r="2">
      <c r="A2" s="2" t="inlineStr"/>
    </row>
    <row r="3">
      <c r="A3" s="3" t="inlineStr">
        <is>
          <t>Цель модели</t>
        </is>
      </c>
    </row>
    <row r="4">
      <c r="A4" s="2" t="inlineStr">
        <is>
          <t>Отслеживать нагрузку и прогресс в силовых тренировках: считать объём работы, видеть рост рабочих весов, замечать недогруженные группы мышц и прогнозировать, когда будет достигнута силовая цель.</t>
        </is>
      </c>
    </row>
    <row r="5">
      <c r="A5" s="2" t="inlineStr"/>
    </row>
    <row r="6">
      <c r="A6" s="3" t="inlineStr">
        <is>
          <t>Вопросы, на которые отвечает модель</t>
        </is>
      </c>
    </row>
    <row r="7">
      <c r="A7" s="2" t="inlineStr">
        <is>
          <t>1. Какой объём работы (тоннаж) выполнен за тренировку, неделю, весь цикл?</t>
        </is>
      </c>
    </row>
    <row r="8">
      <c r="A8" s="2" t="inlineStr">
        <is>
          <t>2. Как растут рабочие веса и расчётный одноповторный максимум (1ПМ)?</t>
        </is>
      </c>
    </row>
    <row r="9">
      <c r="A9" s="2" t="inlineStr">
        <is>
          <t>3. Какие группы мышц недогружены, а какие перегружены относительно нормы?</t>
        </is>
      </c>
    </row>
    <row r="10">
      <c r="A10" s="2" t="inlineStr">
        <is>
          <t>4. Через сколько недель при текущем темпе будет достигнута цель в приседе?</t>
        </is>
      </c>
    </row>
    <row r="11">
      <c r="A11" s="2" t="inlineStr"/>
    </row>
    <row r="12">
      <c r="A12" s="2" t="inlineStr">
        <is>
          <t>Тип модели: знаковая, табличная (реляционная) — таблицы «Упражнения» и «Тренировки», связанные по коду упражнения, плюс расчётный лист «Итоги» и диаграмма динамики.</t>
        </is>
      </c>
    </row>
    <row r="13">
      <c r="A13" s="2" t="inlineStr"/>
    </row>
    <row r="14">
      <c r="A14" s="3" t="inlineStr">
        <is>
          <t>Существенные свойства системы</t>
        </is>
      </c>
    </row>
    <row r="15">
      <c r="A15" s="2" t="inlineStr">
        <is>
          <t>Учитываются: упражнение (группа мышц, снаряд, тип, участвует ли собственный вес), дата занятия, вес отягощения, число подходов и повторов.</t>
        </is>
      </c>
    </row>
    <row r="16">
      <c r="A16" s="2" t="inlineStr">
        <is>
          <t>Не учитываются как несущественные для цели: темп выполнения, время отдыха между подходами, пульс, самочувствие, питание, марка снаряда.</t>
        </is>
      </c>
    </row>
    <row r="17">
      <c r="A17" s="2" t="inlineStr"/>
    </row>
    <row r="18">
      <c r="A18" s="3" t="inlineStr">
        <is>
          <t>Расчётные формулы модели</t>
        </is>
      </c>
    </row>
    <row r="19">
      <c r="A19" s="2" t="inlineStr">
        <is>
          <t>Тоннаж подхода = (вес отягощения + собственный вес, если упражнение с ним) × подходы × повторы.</t>
        </is>
      </c>
    </row>
    <row r="20">
      <c r="A20" s="2" t="inlineStr">
        <is>
          <t>Одноповторный максимум по формуле Эпли: 1ПМ = вес × (1 + повторы / 30).</t>
        </is>
      </c>
    </row>
    <row r="21">
      <c r="A21" s="2" t="inlineStr">
        <is>
          <t>Источник формулы: Epley B. Poundage Chart. Boyd Epley Workout, 1985 — стандартная оценка 1ПМ, применяемая для 2–10 повторений.</t>
        </is>
      </c>
    </row>
    <row r="22"/>
    <row r="23">
      <c r="A23" s="4" t="inlineStr">
        <is>
          <t>Параметры модели (жёлтые ячейки можно менять — это «эксперимент» с моделью)</t>
        </is>
      </c>
    </row>
    <row r="24">
      <c r="A24" s="5" t="inlineStr">
        <is>
          <t>Собственный вес спортсмена, кг</t>
        </is>
      </c>
      <c r="B24" s="6" t="n">
        <v>72</v>
      </c>
    </row>
    <row r="25">
      <c r="A25" s="5" t="inlineStr">
        <is>
          <t>Шаг прибавки рабочего веса за неделю, кг</t>
        </is>
      </c>
      <c r="B25" s="6" t="n">
        <v>2.5</v>
      </c>
    </row>
    <row r="26">
      <c r="A26" s="5" t="inlineStr">
        <is>
          <t>Цель: рабочий вес в приседаниях, кг</t>
        </is>
      </c>
      <c r="B26" s="6" t="n">
        <v>100</v>
      </c>
    </row>
    <row r="27">
      <c r="A27" s="5" t="inlineStr">
        <is>
          <t>Норма рабочих подходов на группу мышц в неделю</t>
        </is>
      </c>
      <c r="B27" s="6" t="n">
        <v>10</v>
      </c>
    </row>
    <row r="28">
      <c r="A28" s="5" t="inlineStr">
        <is>
          <t>Дата начала цикла</t>
        </is>
      </c>
      <c r="B28" s="7" t="n">
        <v>46244</v>
      </c>
    </row>
    <row r="29">
      <c r="A29" s="5" t="inlineStr">
        <is>
          <t>Расчётная («сегодняшняя») дата</t>
        </is>
      </c>
      <c r="B29" s="7" t="n">
        <v>46285</v>
      </c>
    </row>
    <row r="30"/>
    <row r="31">
      <c r="A31" s="5" t="inlineStr">
        <is>
          <t>Легенда: синий шрифт — исходные данные, вводимые вручную; чёрный — значения, вычисляемые формулами. Данные тренировочного дневника за цикл 10.08–18.09.2026.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8" t="inlineStr">
        <is>
          <t>Код</t>
        </is>
      </c>
      <c r="B1" s="8" t="inlineStr">
        <is>
          <t>Упражнение</t>
        </is>
      </c>
      <c r="C1" s="8" t="inlineStr">
        <is>
          <t>Группа мышц</t>
        </is>
      </c>
      <c r="D1" s="8" t="inlineStr">
        <is>
          <t>Снаряд</t>
        </is>
      </c>
      <c r="E1" s="8" t="inlineStr">
        <is>
          <t>Тип</t>
        </is>
      </c>
      <c r="F1" s="8" t="inlineStr">
        <is>
          <t>Учитывать собственный вес</t>
        </is>
      </c>
    </row>
    <row r="2">
      <c r="A2" s="9" t="inlineStr">
        <is>
          <t>E01</t>
        </is>
      </c>
      <c r="B2" s="10" t="inlineStr">
        <is>
          <t>Приседания со штангой</t>
        </is>
      </c>
      <c r="C2" s="10" t="inlineStr">
        <is>
          <t>Ноги</t>
        </is>
      </c>
      <c r="D2" s="10" t="inlineStr">
        <is>
          <t>Штанга</t>
        </is>
      </c>
      <c r="E2" s="9" t="inlineStr">
        <is>
          <t>базовое</t>
        </is>
      </c>
      <c r="F2" s="9" t="inlineStr">
        <is>
          <t>нет</t>
        </is>
      </c>
    </row>
    <row r="3">
      <c r="A3" s="9" t="inlineStr">
        <is>
          <t>E02</t>
        </is>
      </c>
      <c r="B3" s="10" t="inlineStr">
        <is>
          <t>Жим штанги лёжа</t>
        </is>
      </c>
      <c r="C3" s="10" t="inlineStr">
        <is>
          <t>Грудь</t>
        </is>
      </c>
      <c r="D3" s="10" t="inlineStr">
        <is>
          <t>Штанга</t>
        </is>
      </c>
      <c r="E3" s="9" t="inlineStr">
        <is>
          <t>базовое</t>
        </is>
      </c>
      <c r="F3" s="9" t="inlineStr">
        <is>
          <t>нет</t>
        </is>
      </c>
    </row>
    <row r="4">
      <c r="A4" s="9" t="inlineStr">
        <is>
          <t>E03</t>
        </is>
      </c>
      <c r="B4" s="10" t="inlineStr">
        <is>
          <t>Становая тяга</t>
        </is>
      </c>
      <c r="C4" s="10" t="inlineStr">
        <is>
          <t>Спина</t>
        </is>
      </c>
      <c r="D4" s="10" t="inlineStr">
        <is>
          <t>Штанга</t>
        </is>
      </c>
      <c r="E4" s="9" t="inlineStr">
        <is>
          <t>базовое</t>
        </is>
      </c>
      <c r="F4" s="9" t="inlineStr">
        <is>
          <t>нет</t>
        </is>
      </c>
    </row>
    <row r="5">
      <c r="A5" s="9" t="inlineStr">
        <is>
          <t>E04</t>
        </is>
      </c>
      <c r="B5" s="10" t="inlineStr">
        <is>
          <t>Тяга штанги в наклоне</t>
        </is>
      </c>
      <c r="C5" s="10" t="inlineStr">
        <is>
          <t>Спина</t>
        </is>
      </c>
      <c r="D5" s="10" t="inlineStr">
        <is>
          <t>Штанга</t>
        </is>
      </c>
      <c r="E5" s="9" t="inlineStr">
        <is>
          <t>базовое</t>
        </is>
      </c>
      <c r="F5" s="9" t="inlineStr">
        <is>
          <t>нет</t>
        </is>
      </c>
    </row>
    <row r="6">
      <c r="A6" s="9" t="inlineStr">
        <is>
          <t>E05</t>
        </is>
      </c>
      <c r="B6" s="10" t="inlineStr">
        <is>
          <t>Жим гантелей сидя</t>
        </is>
      </c>
      <c r="C6" s="10" t="inlineStr">
        <is>
          <t>Плечи</t>
        </is>
      </c>
      <c r="D6" s="10" t="inlineStr">
        <is>
          <t>Гантели</t>
        </is>
      </c>
      <c r="E6" s="9" t="inlineStr">
        <is>
          <t>базовое</t>
        </is>
      </c>
      <c r="F6" s="9" t="inlineStr">
        <is>
          <t>нет</t>
        </is>
      </c>
    </row>
    <row r="7">
      <c r="A7" s="9" t="inlineStr">
        <is>
          <t>E06</t>
        </is>
      </c>
      <c r="B7" s="10" t="inlineStr">
        <is>
          <t>Подтягивания</t>
        </is>
      </c>
      <c r="C7" s="10" t="inlineStr">
        <is>
          <t>Спина</t>
        </is>
      </c>
      <c r="D7" s="10" t="inlineStr">
        <is>
          <t>Своё тело</t>
        </is>
      </c>
      <c r="E7" s="9" t="inlineStr">
        <is>
          <t>базовое</t>
        </is>
      </c>
      <c r="F7" s="9" t="inlineStr">
        <is>
          <t>да</t>
        </is>
      </c>
    </row>
    <row r="8">
      <c r="A8" s="9" t="inlineStr">
        <is>
          <t>E07</t>
        </is>
      </c>
      <c r="B8" s="10" t="inlineStr">
        <is>
          <t>Отжимания на брусьях</t>
        </is>
      </c>
      <c r="C8" s="10" t="inlineStr">
        <is>
          <t>Грудь</t>
        </is>
      </c>
      <c r="D8" s="10" t="inlineStr">
        <is>
          <t>Своё тело</t>
        </is>
      </c>
      <c r="E8" s="9" t="inlineStr">
        <is>
          <t>базовое</t>
        </is>
      </c>
      <c r="F8" s="9" t="inlineStr">
        <is>
          <t>да</t>
        </is>
      </c>
    </row>
    <row r="9">
      <c r="A9" s="9" t="inlineStr">
        <is>
          <t>E08</t>
        </is>
      </c>
      <c r="B9" s="10" t="inlineStr">
        <is>
          <t>Подъём штанги на бицепс</t>
        </is>
      </c>
      <c r="C9" s="10" t="inlineStr">
        <is>
          <t>Руки</t>
        </is>
      </c>
      <c r="D9" s="10" t="inlineStr">
        <is>
          <t>Штанга</t>
        </is>
      </c>
      <c r="E9" s="9" t="inlineStr">
        <is>
          <t>изолирующее</t>
        </is>
      </c>
      <c r="F9" s="9" t="inlineStr">
        <is>
          <t>нет</t>
        </is>
      </c>
    </row>
    <row r="10">
      <c r="A10" s="9" t="inlineStr">
        <is>
          <t>E09</t>
        </is>
      </c>
      <c r="B10" s="10" t="inlineStr">
        <is>
          <t>Французский жим</t>
        </is>
      </c>
      <c r="C10" s="10" t="inlineStr">
        <is>
          <t>Руки</t>
        </is>
      </c>
      <c r="D10" s="10" t="inlineStr">
        <is>
          <t>Штанга</t>
        </is>
      </c>
      <c r="E10" s="9" t="inlineStr">
        <is>
          <t>изолирующее</t>
        </is>
      </c>
      <c r="F10" s="9" t="inlineStr">
        <is>
          <t>нет</t>
        </is>
      </c>
    </row>
    <row r="11">
      <c r="A11" s="9" t="inlineStr">
        <is>
          <t>E10</t>
        </is>
      </c>
      <c r="B11" s="10" t="inlineStr">
        <is>
          <t>Разгибание ног в тренажёре</t>
        </is>
      </c>
      <c r="C11" s="10" t="inlineStr">
        <is>
          <t>Ноги</t>
        </is>
      </c>
      <c r="D11" s="10" t="inlineStr">
        <is>
          <t>Тренажёр</t>
        </is>
      </c>
      <c r="E11" s="9" t="inlineStr">
        <is>
          <t>изолирующее</t>
        </is>
      </c>
      <c r="F11" s="9" t="inlineStr">
        <is>
          <t>нет</t>
        </is>
      </c>
    </row>
    <row r="12">
      <c r="A12" s="9" t="inlineStr">
        <is>
          <t>E11</t>
        </is>
      </c>
      <c r="B12" s="10" t="inlineStr">
        <is>
          <t>Жим ногами</t>
        </is>
      </c>
      <c r="C12" s="10" t="inlineStr">
        <is>
          <t>Ноги</t>
        </is>
      </c>
      <c r="D12" s="10" t="inlineStr">
        <is>
          <t>Тренажёр</t>
        </is>
      </c>
      <c r="E12" s="9" t="inlineStr">
        <is>
          <t>базовое</t>
        </is>
      </c>
      <c r="F12" s="9" t="inlineStr">
        <is>
          <t>нет</t>
        </is>
      </c>
    </row>
    <row r="13">
      <c r="A13" s="9" t="inlineStr">
        <is>
          <t>E12</t>
        </is>
      </c>
      <c r="B13" s="10" t="inlineStr">
        <is>
          <t>Скручивания на пресс</t>
        </is>
      </c>
      <c r="C13" s="10" t="inlineStr">
        <is>
          <t>Пресс</t>
        </is>
      </c>
      <c r="D13" s="10" t="inlineStr">
        <is>
          <t>Своё тело</t>
        </is>
      </c>
      <c r="E13" s="9" t="inlineStr">
        <is>
          <t>изолирующее</t>
        </is>
      </c>
      <c r="F13" s="9" t="inlineStr">
        <is>
          <t>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30" customWidth="1" min="4" max="4"/>
    <col width="17" customWidth="1" min="5" max="5"/>
    <col width="14" customWidth="1" min="6" max="6"/>
    <col width="10" customWidth="1" min="7" max="7"/>
    <col width="10" customWidth="1" min="8" max="8"/>
    <col width="16" customWidth="1" min="9" max="9"/>
    <col width="17" customWidth="1" min="10" max="10"/>
    <col width="11" customWidth="1" min="11" max="11"/>
    <col width="13" customWidth="1" min="12" max="12"/>
  </cols>
  <sheetData>
    <row r="1">
      <c r="A1" s="8" t="inlineStr">
        <is>
          <t>№</t>
        </is>
      </c>
      <c r="B1" s="8" t="inlineStr">
        <is>
          <t>Дата</t>
        </is>
      </c>
      <c r="C1" s="8" t="inlineStr">
        <is>
          <t>Код упр.</t>
        </is>
      </c>
      <c r="D1" s="8" t="inlineStr">
        <is>
          <t>Упражнение (авто)</t>
        </is>
      </c>
      <c r="E1" s="8" t="inlineStr">
        <is>
          <t>Группа мышц (авто)</t>
        </is>
      </c>
      <c r="F1" s="8" t="inlineStr">
        <is>
          <t>Вес отягощения, кг</t>
        </is>
      </c>
      <c r="G1" s="8" t="inlineStr">
        <is>
          <t>Подходы</t>
        </is>
      </c>
      <c r="H1" s="8" t="inlineStr">
        <is>
          <t>Повторы</t>
        </is>
      </c>
      <c r="I1" s="8" t="inlineStr">
        <is>
          <t>Тоннаж, кг (авто)</t>
        </is>
      </c>
      <c r="J1" s="8" t="inlineStr">
        <is>
          <t>1ПМ по Эпли, кг (авто)</t>
        </is>
      </c>
      <c r="K1" s="8" t="inlineStr">
        <is>
          <t>Неделя (авто)</t>
        </is>
      </c>
      <c r="L1" s="8" t="inlineStr">
        <is>
          <t>Новая тренировка (авто)</t>
        </is>
      </c>
    </row>
    <row r="2">
      <c r="A2" s="11" t="n">
        <v>1</v>
      </c>
      <c r="B2" s="12" t="n">
        <v>46244</v>
      </c>
      <c r="C2" s="9" t="inlineStr">
        <is>
          <t>E01</t>
        </is>
      </c>
      <c r="D2" s="13">
        <f>IFERROR(INDEX(Упражнения!$B$2:$B$13,MATCH($C2,Упражнения!$A$2:$A$13,0)),"нет такого упражнения")</f>
        <v/>
      </c>
      <c r="E2" s="13">
        <f>IFERROR(INDEX(Упражнения!$C$2:$C$13,MATCH($C2,Упражнения!$A$2:$A$13,0)),"")</f>
        <v/>
      </c>
      <c r="F2" s="9" t="n">
        <v>60</v>
      </c>
      <c r="G2" s="9" t="n">
        <v>5</v>
      </c>
      <c r="H2" s="9" t="n">
        <v>5</v>
      </c>
      <c r="I2" s="11">
        <f>($F2+IF(INDEX(Упражнения!$F$2:$F$13,MATCH($C2,Упражнения!$A$2:$A$13,0))="да",Модель!$B$24,0))*$G2*$H2</f>
        <v/>
      </c>
      <c r="J2" s="11">
        <f>ROUND(($F2+IF(INDEX(Упражнения!$F$2:$F$13,MATCH($C2,Упражнения!$A$2:$A$13,0))="да",Модель!$B$24,0))*(1+$H2/30),1)</f>
        <v/>
      </c>
      <c r="K2" s="11">
        <f>INT(($B2-Модель!$B$28)/7)+1</f>
        <v/>
      </c>
      <c r="L2" s="11">
        <f>IF(COUNTIF($B$2:$B2,$B2)=1,1,0)</f>
        <v/>
      </c>
    </row>
    <row r="3">
      <c r="A3" s="11" t="n">
        <v>2</v>
      </c>
      <c r="B3" s="12" t="n">
        <v>46244</v>
      </c>
      <c r="C3" s="9" t="inlineStr">
        <is>
          <t>E02</t>
        </is>
      </c>
      <c r="D3" s="13">
        <f>IFERROR(INDEX(Упражнения!$B$2:$B$13,MATCH($C3,Упражнения!$A$2:$A$13,0)),"нет такого упражнения")</f>
        <v/>
      </c>
      <c r="E3" s="13">
        <f>IFERROR(INDEX(Упражнения!$C$2:$C$13,MATCH($C3,Упражнения!$A$2:$A$13,0)),"")</f>
        <v/>
      </c>
      <c r="F3" s="9" t="n">
        <v>45</v>
      </c>
      <c r="G3" s="9" t="n">
        <v>5</v>
      </c>
      <c r="H3" s="9" t="n">
        <v>5</v>
      </c>
      <c r="I3" s="11">
        <f>($F3+IF(INDEX(Упражнения!$F$2:$F$13,MATCH($C3,Упражнения!$A$2:$A$13,0))="да",Модель!$B$24,0))*$G3*$H3</f>
        <v/>
      </c>
      <c r="J3" s="11">
        <f>ROUND(($F3+IF(INDEX(Упражнения!$F$2:$F$13,MATCH($C3,Упражнения!$A$2:$A$13,0))="да",Модель!$B$24,0))*(1+$H3/30),1)</f>
        <v/>
      </c>
      <c r="K3" s="11">
        <f>INT(($B3-Модель!$B$28)/7)+1</f>
        <v/>
      </c>
      <c r="L3" s="11">
        <f>IF(COUNTIF($B$2:$B3,$B3)=1,1,0)</f>
        <v/>
      </c>
    </row>
    <row r="4">
      <c r="A4" s="11" t="n">
        <v>3</v>
      </c>
      <c r="B4" s="12" t="n">
        <v>46244</v>
      </c>
      <c r="C4" s="9" t="inlineStr">
        <is>
          <t>E08</t>
        </is>
      </c>
      <c r="D4" s="13">
        <f>IFERROR(INDEX(Упражнения!$B$2:$B$13,MATCH($C4,Упражнения!$A$2:$A$13,0)),"нет такого упражнения")</f>
        <v/>
      </c>
      <c r="E4" s="13">
        <f>IFERROR(INDEX(Упражнения!$C$2:$C$13,MATCH($C4,Упражнения!$A$2:$A$13,0)),"")</f>
        <v/>
      </c>
      <c r="F4" s="9" t="n">
        <v>25</v>
      </c>
      <c r="G4" s="9" t="n">
        <v>3</v>
      </c>
      <c r="H4" s="9" t="n">
        <v>10</v>
      </c>
      <c r="I4" s="11">
        <f>($F4+IF(INDEX(Упражнения!$F$2:$F$13,MATCH($C4,Упражнения!$A$2:$A$13,0))="да",Модель!$B$24,0))*$G4*$H4</f>
        <v/>
      </c>
      <c r="J4" s="11">
        <f>ROUND(($F4+IF(INDEX(Упражнения!$F$2:$F$13,MATCH($C4,Упражнения!$A$2:$A$13,0))="да",Модель!$B$24,0))*(1+$H4/30),1)</f>
        <v/>
      </c>
      <c r="K4" s="11">
        <f>INT(($B4-Модель!$B$28)/7)+1</f>
        <v/>
      </c>
      <c r="L4" s="11">
        <f>IF(COUNTIF($B$2:$B4,$B4)=1,1,0)</f>
        <v/>
      </c>
    </row>
    <row r="5">
      <c r="A5" s="11" t="n">
        <v>4</v>
      </c>
      <c r="B5" s="12" t="n">
        <v>46244</v>
      </c>
      <c r="C5" s="9" t="inlineStr">
        <is>
          <t>E12</t>
        </is>
      </c>
      <c r="D5" s="13">
        <f>IFERROR(INDEX(Упражнения!$B$2:$B$13,MATCH($C5,Упражнения!$A$2:$A$13,0)),"нет такого упражнения")</f>
        <v/>
      </c>
      <c r="E5" s="13">
        <f>IFERROR(INDEX(Упражнения!$C$2:$C$13,MATCH($C5,Упражнения!$A$2:$A$13,0)),"")</f>
        <v/>
      </c>
      <c r="F5" s="9" t="n">
        <v>0</v>
      </c>
      <c r="G5" s="9" t="n">
        <v>3</v>
      </c>
      <c r="H5" s="9" t="n">
        <v>20</v>
      </c>
      <c r="I5" s="11">
        <f>($F5+IF(INDEX(Упражнения!$F$2:$F$13,MATCH($C5,Упражнения!$A$2:$A$13,0))="да",Модель!$B$24,0))*$G5*$H5</f>
        <v/>
      </c>
      <c r="J5" s="11">
        <f>ROUND(($F5+IF(INDEX(Упражнения!$F$2:$F$13,MATCH($C5,Упражнения!$A$2:$A$13,0))="да",Модель!$B$24,0))*(1+$H5/30),1)</f>
        <v/>
      </c>
      <c r="K5" s="11">
        <f>INT(($B5-Модель!$B$28)/7)+1</f>
        <v/>
      </c>
      <c r="L5" s="11">
        <f>IF(COUNTIF($B$2:$B5,$B5)=1,1,0)</f>
        <v/>
      </c>
    </row>
    <row r="6">
      <c r="A6" s="11" t="n">
        <v>5</v>
      </c>
      <c r="B6" s="12" t="n">
        <v>46246</v>
      </c>
      <c r="C6" s="9" t="inlineStr">
        <is>
          <t>E03</t>
        </is>
      </c>
      <c r="D6" s="13">
        <f>IFERROR(INDEX(Упражнения!$B$2:$B$13,MATCH($C6,Упражнения!$A$2:$A$13,0)),"нет такого упражнения")</f>
        <v/>
      </c>
      <c r="E6" s="13">
        <f>IFERROR(INDEX(Упражнения!$C$2:$C$13,MATCH($C6,Упражнения!$A$2:$A$13,0)),"")</f>
        <v/>
      </c>
      <c r="F6" s="9" t="n">
        <v>70</v>
      </c>
      <c r="G6" s="9" t="n">
        <v>5</v>
      </c>
      <c r="H6" s="9" t="n">
        <v>5</v>
      </c>
      <c r="I6" s="11">
        <f>($F6+IF(INDEX(Упражнения!$F$2:$F$13,MATCH($C6,Упражнения!$A$2:$A$13,0))="да",Модель!$B$24,0))*$G6*$H6</f>
        <v/>
      </c>
      <c r="J6" s="11">
        <f>ROUND(($F6+IF(INDEX(Упражнения!$F$2:$F$13,MATCH($C6,Упражнения!$A$2:$A$13,0))="да",Модель!$B$24,0))*(1+$H6/30),1)</f>
        <v/>
      </c>
      <c r="K6" s="11">
        <f>INT(($B6-Модель!$B$28)/7)+1</f>
        <v/>
      </c>
      <c r="L6" s="11">
        <f>IF(COUNTIF($B$2:$B6,$B6)=1,1,0)</f>
        <v/>
      </c>
    </row>
    <row r="7">
      <c r="A7" s="11" t="n">
        <v>6</v>
      </c>
      <c r="B7" s="12" t="n">
        <v>46246</v>
      </c>
      <c r="C7" s="9" t="inlineStr">
        <is>
          <t>E04</t>
        </is>
      </c>
      <c r="D7" s="13">
        <f>IFERROR(INDEX(Упражнения!$B$2:$B$13,MATCH($C7,Упражнения!$A$2:$A$13,0)),"нет такого упражнения")</f>
        <v/>
      </c>
      <c r="E7" s="13">
        <f>IFERROR(INDEX(Упражнения!$C$2:$C$13,MATCH($C7,Упражнения!$A$2:$A$13,0)),"")</f>
        <v/>
      </c>
      <c r="F7" s="9" t="n">
        <v>40</v>
      </c>
      <c r="G7" s="9" t="n">
        <v>4</v>
      </c>
      <c r="H7" s="9" t="n">
        <v>8</v>
      </c>
      <c r="I7" s="11">
        <f>($F7+IF(INDEX(Упражнения!$F$2:$F$13,MATCH($C7,Упражнения!$A$2:$A$13,0))="да",Модель!$B$24,0))*$G7*$H7</f>
        <v/>
      </c>
      <c r="J7" s="11">
        <f>ROUND(($F7+IF(INDEX(Упражнения!$F$2:$F$13,MATCH($C7,Упражнения!$A$2:$A$13,0))="да",Модель!$B$24,0))*(1+$H7/30),1)</f>
        <v/>
      </c>
      <c r="K7" s="11">
        <f>INT(($B7-Модель!$B$28)/7)+1</f>
        <v/>
      </c>
      <c r="L7" s="11">
        <f>IF(COUNTIF($B$2:$B7,$B7)=1,1,0)</f>
        <v/>
      </c>
    </row>
    <row r="8">
      <c r="A8" s="11" t="n">
        <v>7</v>
      </c>
      <c r="B8" s="12" t="n">
        <v>46246</v>
      </c>
      <c r="C8" s="9" t="inlineStr">
        <is>
          <t>E06</t>
        </is>
      </c>
      <c r="D8" s="13">
        <f>IFERROR(INDEX(Упражнения!$B$2:$B$13,MATCH($C8,Упражнения!$A$2:$A$13,0)),"нет такого упражнения")</f>
        <v/>
      </c>
      <c r="E8" s="13">
        <f>IFERROR(INDEX(Упражнения!$C$2:$C$13,MATCH($C8,Упражнения!$A$2:$A$13,0)),"")</f>
        <v/>
      </c>
      <c r="F8" s="9" t="n">
        <v>0</v>
      </c>
      <c r="G8" s="9" t="n">
        <v>4</v>
      </c>
      <c r="H8" s="9" t="n">
        <v>8</v>
      </c>
      <c r="I8" s="11">
        <f>($F8+IF(INDEX(Упражнения!$F$2:$F$13,MATCH($C8,Упражнения!$A$2:$A$13,0))="да",Модель!$B$24,0))*$G8*$H8</f>
        <v/>
      </c>
      <c r="J8" s="11">
        <f>ROUND(($F8+IF(INDEX(Упражнения!$F$2:$F$13,MATCH($C8,Упражнения!$A$2:$A$13,0))="да",Модель!$B$24,0))*(1+$H8/30),1)</f>
        <v/>
      </c>
      <c r="K8" s="11">
        <f>INT(($B8-Модель!$B$28)/7)+1</f>
        <v/>
      </c>
      <c r="L8" s="11">
        <f>IF(COUNTIF($B$2:$B8,$B8)=1,1,0)</f>
        <v/>
      </c>
    </row>
    <row r="9">
      <c r="A9" s="11" t="n">
        <v>8</v>
      </c>
      <c r="B9" s="12" t="n">
        <v>46246</v>
      </c>
      <c r="C9" s="9" t="inlineStr">
        <is>
          <t>E09</t>
        </is>
      </c>
      <c r="D9" s="13">
        <f>IFERROR(INDEX(Упражнения!$B$2:$B$13,MATCH($C9,Упражнения!$A$2:$A$13,0)),"нет такого упражнения")</f>
        <v/>
      </c>
      <c r="E9" s="13">
        <f>IFERROR(INDEX(Упражнения!$C$2:$C$13,MATCH($C9,Упражнения!$A$2:$A$13,0)),"")</f>
        <v/>
      </c>
      <c r="F9" s="9" t="n">
        <v>22.5</v>
      </c>
      <c r="G9" s="9" t="n">
        <v>3</v>
      </c>
      <c r="H9" s="9" t="n">
        <v>10</v>
      </c>
      <c r="I9" s="11">
        <f>($F9+IF(INDEX(Упражнения!$F$2:$F$13,MATCH($C9,Упражнения!$A$2:$A$13,0))="да",Модель!$B$24,0))*$G9*$H9</f>
        <v/>
      </c>
      <c r="J9" s="11">
        <f>ROUND(($F9+IF(INDEX(Упражнения!$F$2:$F$13,MATCH($C9,Упражнения!$A$2:$A$13,0))="да",Модель!$B$24,0))*(1+$H9/30),1)</f>
        <v/>
      </c>
      <c r="K9" s="11">
        <f>INT(($B9-Модель!$B$28)/7)+1</f>
        <v/>
      </c>
      <c r="L9" s="11">
        <f>IF(COUNTIF($B$2:$B9,$B9)=1,1,0)</f>
        <v/>
      </c>
    </row>
    <row r="10">
      <c r="A10" s="11" t="n">
        <v>9</v>
      </c>
      <c r="B10" s="12" t="n">
        <v>46248</v>
      </c>
      <c r="C10" s="9" t="inlineStr">
        <is>
          <t>E11</t>
        </is>
      </c>
      <c r="D10" s="13">
        <f>IFERROR(INDEX(Упражнения!$B$2:$B$13,MATCH($C10,Упражнения!$A$2:$A$13,0)),"нет такого упражнения")</f>
        <v/>
      </c>
      <c r="E10" s="13">
        <f>IFERROR(INDEX(Упражнения!$C$2:$C$13,MATCH($C10,Упражнения!$A$2:$A$13,0)),"")</f>
        <v/>
      </c>
      <c r="F10" s="9" t="n">
        <v>120</v>
      </c>
      <c r="G10" s="9" t="n">
        <v>4</v>
      </c>
      <c r="H10" s="9" t="n">
        <v>10</v>
      </c>
      <c r="I10" s="11">
        <f>($F10+IF(INDEX(Упражнения!$F$2:$F$13,MATCH($C10,Упражнения!$A$2:$A$13,0))="да",Модель!$B$24,0))*$G10*$H10</f>
        <v/>
      </c>
      <c r="J10" s="11">
        <f>ROUND(($F10+IF(INDEX(Упражнения!$F$2:$F$13,MATCH($C10,Упражнения!$A$2:$A$13,0))="да",Модель!$B$24,0))*(1+$H10/30),1)</f>
        <v/>
      </c>
      <c r="K10" s="11">
        <f>INT(($B10-Модель!$B$28)/7)+1</f>
        <v/>
      </c>
      <c r="L10" s="11">
        <f>IF(COUNTIF($B$2:$B10,$B10)=1,1,0)</f>
        <v/>
      </c>
    </row>
    <row r="11">
      <c r="A11" s="11" t="n">
        <v>10</v>
      </c>
      <c r="B11" s="12" t="n">
        <v>46248</v>
      </c>
      <c r="C11" s="9" t="inlineStr">
        <is>
          <t>E05</t>
        </is>
      </c>
      <c r="D11" s="13">
        <f>IFERROR(INDEX(Упражнения!$B$2:$B$13,MATCH($C11,Упражнения!$A$2:$A$13,0)),"нет такого упражнения")</f>
        <v/>
      </c>
      <c r="E11" s="13">
        <f>IFERROR(INDEX(Упражнения!$C$2:$C$13,MATCH($C11,Упражнения!$A$2:$A$13,0)),"")</f>
        <v/>
      </c>
      <c r="F11" s="9" t="n">
        <v>32</v>
      </c>
      <c r="G11" s="9" t="n">
        <v>4</v>
      </c>
      <c r="H11" s="9" t="n">
        <v>10</v>
      </c>
      <c r="I11" s="11">
        <f>($F11+IF(INDEX(Упражнения!$F$2:$F$13,MATCH($C11,Упражнения!$A$2:$A$13,0))="да",Модель!$B$24,0))*$G11*$H11</f>
        <v/>
      </c>
      <c r="J11" s="11">
        <f>ROUND(($F11+IF(INDEX(Упражнения!$F$2:$F$13,MATCH($C11,Упражнения!$A$2:$A$13,0))="да",Модель!$B$24,0))*(1+$H11/30),1)</f>
        <v/>
      </c>
      <c r="K11" s="11">
        <f>INT(($B11-Модель!$B$28)/7)+1</f>
        <v/>
      </c>
      <c r="L11" s="11">
        <f>IF(COUNTIF($B$2:$B11,$B11)=1,1,0)</f>
        <v/>
      </c>
    </row>
    <row r="12">
      <c r="A12" s="11" t="n">
        <v>11</v>
      </c>
      <c r="B12" s="12" t="n">
        <v>46248</v>
      </c>
      <c r="C12" s="9" t="inlineStr">
        <is>
          <t>E07</t>
        </is>
      </c>
      <c r="D12" s="13">
        <f>IFERROR(INDEX(Упражнения!$B$2:$B$13,MATCH($C12,Упражнения!$A$2:$A$13,0)),"нет такого упражнения")</f>
        <v/>
      </c>
      <c r="E12" s="13">
        <f>IFERROR(INDEX(Упражнения!$C$2:$C$13,MATCH($C12,Упражнения!$A$2:$A$13,0)),"")</f>
        <v/>
      </c>
      <c r="F12" s="9" t="n">
        <v>0</v>
      </c>
      <c r="G12" s="9" t="n">
        <v>3</v>
      </c>
      <c r="H12" s="9" t="n">
        <v>10</v>
      </c>
      <c r="I12" s="11">
        <f>($F12+IF(INDEX(Упражнения!$F$2:$F$13,MATCH($C12,Упражнения!$A$2:$A$13,0))="да",Модель!$B$24,0))*$G12*$H12</f>
        <v/>
      </c>
      <c r="J12" s="11">
        <f>ROUND(($F12+IF(INDEX(Упражнения!$F$2:$F$13,MATCH($C12,Упражнения!$A$2:$A$13,0))="да",Модель!$B$24,0))*(1+$H12/30),1)</f>
        <v/>
      </c>
      <c r="K12" s="11">
        <f>INT(($B12-Модель!$B$28)/7)+1</f>
        <v/>
      </c>
      <c r="L12" s="11">
        <f>IF(COUNTIF($B$2:$B12,$B12)=1,1,0)</f>
        <v/>
      </c>
    </row>
    <row r="13">
      <c r="A13" s="11" t="n">
        <v>12</v>
      </c>
      <c r="B13" s="12" t="n">
        <v>46248</v>
      </c>
      <c r="C13" s="9" t="inlineStr">
        <is>
          <t>E10</t>
        </is>
      </c>
      <c r="D13" s="13">
        <f>IFERROR(INDEX(Упражнения!$B$2:$B$13,MATCH($C13,Упражнения!$A$2:$A$13,0)),"нет такого упражнения")</f>
        <v/>
      </c>
      <c r="E13" s="13">
        <f>IFERROR(INDEX(Упражнения!$C$2:$C$13,MATCH($C13,Упражнения!$A$2:$A$13,0)),"")</f>
        <v/>
      </c>
      <c r="F13" s="9" t="n">
        <v>30</v>
      </c>
      <c r="G13" s="9" t="n">
        <v>3</v>
      </c>
      <c r="H13" s="9" t="n">
        <v>12</v>
      </c>
      <c r="I13" s="11">
        <f>($F13+IF(INDEX(Упражнения!$F$2:$F$13,MATCH($C13,Упражнения!$A$2:$A$13,0))="да",Модель!$B$24,0))*$G13*$H13</f>
        <v/>
      </c>
      <c r="J13" s="11">
        <f>ROUND(($F13+IF(INDEX(Упражнения!$F$2:$F$13,MATCH($C13,Упражнения!$A$2:$A$13,0))="да",Модель!$B$24,0))*(1+$H13/30),1)</f>
        <v/>
      </c>
      <c r="K13" s="11">
        <f>INT(($B13-Модель!$B$28)/7)+1</f>
        <v/>
      </c>
      <c r="L13" s="11">
        <f>IF(COUNTIF($B$2:$B13,$B13)=1,1,0)</f>
        <v/>
      </c>
    </row>
    <row r="14">
      <c r="A14" s="11" t="n">
        <v>13</v>
      </c>
      <c r="B14" s="12" t="n">
        <v>46251</v>
      </c>
      <c r="C14" s="9" t="inlineStr">
        <is>
          <t>E01</t>
        </is>
      </c>
      <c r="D14" s="13">
        <f>IFERROR(INDEX(Упражнения!$B$2:$B$13,MATCH($C14,Упражнения!$A$2:$A$13,0)),"нет такого упражнения")</f>
        <v/>
      </c>
      <c r="E14" s="13">
        <f>IFERROR(INDEX(Упражнения!$C$2:$C$13,MATCH($C14,Упражнения!$A$2:$A$13,0)),"")</f>
        <v/>
      </c>
      <c r="F14" s="9" t="n">
        <v>65</v>
      </c>
      <c r="G14" s="9" t="n">
        <v>5</v>
      </c>
      <c r="H14" s="9" t="n">
        <v>5</v>
      </c>
      <c r="I14" s="11">
        <f>($F14+IF(INDEX(Упражнения!$F$2:$F$13,MATCH($C14,Упражнения!$A$2:$A$13,0))="да",Модель!$B$24,0))*$G14*$H14</f>
        <v/>
      </c>
      <c r="J14" s="11">
        <f>ROUND(($F14+IF(INDEX(Упражнения!$F$2:$F$13,MATCH($C14,Упражнения!$A$2:$A$13,0))="да",Модель!$B$24,0))*(1+$H14/30),1)</f>
        <v/>
      </c>
      <c r="K14" s="11">
        <f>INT(($B14-Модель!$B$28)/7)+1</f>
        <v/>
      </c>
      <c r="L14" s="11">
        <f>IF(COUNTIF($B$2:$B14,$B14)=1,1,0)</f>
        <v/>
      </c>
    </row>
    <row r="15">
      <c r="A15" s="11" t="n">
        <v>14</v>
      </c>
      <c r="B15" s="12" t="n">
        <v>46251</v>
      </c>
      <c r="C15" s="9" t="inlineStr">
        <is>
          <t>E02</t>
        </is>
      </c>
      <c r="D15" s="13">
        <f>IFERROR(INDEX(Упражнения!$B$2:$B$13,MATCH($C15,Упражнения!$A$2:$A$13,0)),"нет такого упражнения")</f>
        <v/>
      </c>
      <c r="E15" s="13">
        <f>IFERROR(INDEX(Упражнения!$C$2:$C$13,MATCH($C15,Упражнения!$A$2:$A$13,0)),"")</f>
        <v/>
      </c>
      <c r="F15" s="9" t="n">
        <v>47.5</v>
      </c>
      <c r="G15" s="9" t="n">
        <v>5</v>
      </c>
      <c r="H15" s="9" t="n">
        <v>5</v>
      </c>
      <c r="I15" s="11">
        <f>($F15+IF(INDEX(Упражнения!$F$2:$F$13,MATCH($C15,Упражнения!$A$2:$A$13,0))="да",Модель!$B$24,0))*$G15*$H15</f>
        <v/>
      </c>
      <c r="J15" s="11">
        <f>ROUND(($F15+IF(INDEX(Упражнения!$F$2:$F$13,MATCH($C15,Упражнения!$A$2:$A$13,0))="да",Модель!$B$24,0))*(1+$H15/30),1)</f>
        <v/>
      </c>
      <c r="K15" s="11">
        <f>INT(($B15-Модель!$B$28)/7)+1</f>
        <v/>
      </c>
      <c r="L15" s="11">
        <f>IF(COUNTIF($B$2:$B15,$B15)=1,1,0)</f>
        <v/>
      </c>
    </row>
    <row r="16">
      <c r="A16" s="11" t="n">
        <v>15</v>
      </c>
      <c r="B16" s="12" t="n">
        <v>46251</v>
      </c>
      <c r="C16" s="9" t="inlineStr">
        <is>
          <t>E08</t>
        </is>
      </c>
      <c r="D16" s="13">
        <f>IFERROR(INDEX(Упражнения!$B$2:$B$13,MATCH($C16,Упражнения!$A$2:$A$13,0)),"нет такого упражнения")</f>
        <v/>
      </c>
      <c r="E16" s="13">
        <f>IFERROR(INDEX(Упражнения!$C$2:$C$13,MATCH($C16,Упражнения!$A$2:$A$13,0)),"")</f>
        <v/>
      </c>
      <c r="F16" s="9" t="n">
        <v>26.2</v>
      </c>
      <c r="G16" s="9" t="n">
        <v>3</v>
      </c>
      <c r="H16" s="9" t="n">
        <v>10</v>
      </c>
      <c r="I16" s="11">
        <f>($F16+IF(INDEX(Упражнения!$F$2:$F$13,MATCH($C16,Упражнения!$A$2:$A$13,0))="да",Модель!$B$24,0))*$G16*$H16</f>
        <v/>
      </c>
      <c r="J16" s="11">
        <f>ROUND(($F16+IF(INDEX(Упражнения!$F$2:$F$13,MATCH($C16,Упражнения!$A$2:$A$13,0))="да",Модель!$B$24,0))*(1+$H16/30),1)</f>
        <v/>
      </c>
      <c r="K16" s="11">
        <f>INT(($B16-Модель!$B$28)/7)+1</f>
        <v/>
      </c>
      <c r="L16" s="11">
        <f>IF(COUNTIF($B$2:$B16,$B16)=1,1,0)</f>
        <v/>
      </c>
    </row>
    <row r="17">
      <c r="A17" s="11" t="n">
        <v>16</v>
      </c>
      <c r="B17" s="12" t="n">
        <v>46251</v>
      </c>
      <c r="C17" s="9" t="inlineStr">
        <is>
          <t>E12</t>
        </is>
      </c>
      <c r="D17" s="13">
        <f>IFERROR(INDEX(Упражнения!$B$2:$B$13,MATCH($C17,Упражнения!$A$2:$A$13,0)),"нет такого упражнения")</f>
        <v/>
      </c>
      <c r="E17" s="13">
        <f>IFERROR(INDEX(Упражнения!$C$2:$C$13,MATCH($C17,Упражнения!$A$2:$A$13,0)),"")</f>
        <v/>
      </c>
      <c r="F17" s="9" t="n">
        <v>0</v>
      </c>
      <c r="G17" s="9" t="n">
        <v>3</v>
      </c>
      <c r="H17" s="9" t="n">
        <v>20</v>
      </c>
      <c r="I17" s="11">
        <f>($F17+IF(INDEX(Упражнения!$F$2:$F$13,MATCH($C17,Упражнения!$A$2:$A$13,0))="да",Модель!$B$24,0))*$G17*$H17</f>
        <v/>
      </c>
      <c r="J17" s="11">
        <f>ROUND(($F17+IF(INDEX(Упражнения!$F$2:$F$13,MATCH($C17,Упражнения!$A$2:$A$13,0))="да",Модель!$B$24,0))*(1+$H17/30),1)</f>
        <v/>
      </c>
      <c r="K17" s="11">
        <f>INT(($B17-Модель!$B$28)/7)+1</f>
        <v/>
      </c>
      <c r="L17" s="11">
        <f>IF(COUNTIF($B$2:$B17,$B17)=1,1,0)</f>
        <v/>
      </c>
    </row>
    <row r="18">
      <c r="A18" s="11" t="n">
        <v>17</v>
      </c>
      <c r="B18" s="12" t="n">
        <v>46253</v>
      </c>
      <c r="C18" s="9" t="inlineStr">
        <is>
          <t>E03</t>
        </is>
      </c>
      <c r="D18" s="13">
        <f>IFERROR(INDEX(Упражнения!$B$2:$B$13,MATCH($C18,Упражнения!$A$2:$A$13,0)),"нет такого упражнения")</f>
        <v/>
      </c>
      <c r="E18" s="13">
        <f>IFERROR(INDEX(Упражнения!$C$2:$C$13,MATCH($C18,Упражнения!$A$2:$A$13,0)),"")</f>
        <v/>
      </c>
      <c r="F18" s="9" t="n">
        <v>75</v>
      </c>
      <c r="G18" s="9" t="n">
        <v>5</v>
      </c>
      <c r="H18" s="9" t="n">
        <v>5</v>
      </c>
      <c r="I18" s="11">
        <f>($F18+IF(INDEX(Упражнения!$F$2:$F$13,MATCH($C18,Упражнения!$A$2:$A$13,0))="да",Модель!$B$24,0))*$G18*$H18</f>
        <v/>
      </c>
      <c r="J18" s="11">
        <f>ROUND(($F18+IF(INDEX(Упражнения!$F$2:$F$13,MATCH($C18,Упражнения!$A$2:$A$13,0))="да",Модель!$B$24,0))*(1+$H18/30),1)</f>
        <v/>
      </c>
      <c r="K18" s="11">
        <f>INT(($B18-Модель!$B$28)/7)+1</f>
        <v/>
      </c>
      <c r="L18" s="11">
        <f>IF(COUNTIF($B$2:$B18,$B18)=1,1,0)</f>
        <v/>
      </c>
    </row>
    <row r="19">
      <c r="A19" s="11" t="n">
        <v>18</v>
      </c>
      <c r="B19" s="12" t="n">
        <v>46253</v>
      </c>
      <c r="C19" s="9" t="inlineStr">
        <is>
          <t>E04</t>
        </is>
      </c>
      <c r="D19" s="13">
        <f>IFERROR(INDEX(Упражнения!$B$2:$B$13,MATCH($C19,Упражнения!$A$2:$A$13,0)),"нет такого упражнения")</f>
        <v/>
      </c>
      <c r="E19" s="13">
        <f>IFERROR(INDEX(Упражнения!$C$2:$C$13,MATCH($C19,Упражнения!$A$2:$A$13,0)),"")</f>
        <v/>
      </c>
      <c r="F19" s="9" t="n">
        <v>42.5</v>
      </c>
      <c r="G19" s="9" t="n">
        <v>4</v>
      </c>
      <c r="H19" s="9" t="n">
        <v>8</v>
      </c>
      <c r="I19" s="11">
        <f>($F19+IF(INDEX(Упражнения!$F$2:$F$13,MATCH($C19,Упражнения!$A$2:$A$13,0))="да",Модель!$B$24,0))*$G19*$H19</f>
        <v/>
      </c>
      <c r="J19" s="11">
        <f>ROUND(($F19+IF(INDEX(Упражнения!$F$2:$F$13,MATCH($C19,Упражнения!$A$2:$A$13,0))="да",Модель!$B$24,0))*(1+$H19/30),1)</f>
        <v/>
      </c>
      <c r="K19" s="11">
        <f>INT(($B19-Модель!$B$28)/7)+1</f>
        <v/>
      </c>
      <c r="L19" s="11">
        <f>IF(COUNTIF($B$2:$B19,$B19)=1,1,0)</f>
        <v/>
      </c>
    </row>
    <row r="20">
      <c r="A20" s="11" t="n">
        <v>19</v>
      </c>
      <c r="B20" s="12" t="n">
        <v>46253</v>
      </c>
      <c r="C20" s="9" t="inlineStr">
        <is>
          <t>E06</t>
        </is>
      </c>
      <c r="D20" s="13">
        <f>IFERROR(INDEX(Упражнения!$B$2:$B$13,MATCH($C20,Упражнения!$A$2:$A$13,0)),"нет такого упражнения")</f>
        <v/>
      </c>
      <c r="E20" s="13">
        <f>IFERROR(INDEX(Упражнения!$C$2:$C$13,MATCH($C20,Упражнения!$A$2:$A$13,0)),"")</f>
        <v/>
      </c>
      <c r="F20" s="9" t="n">
        <v>0</v>
      </c>
      <c r="G20" s="9" t="n">
        <v>4</v>
      </c>
      <c r="H20" s="9" t="n">
        <v>8</v>
      </c>
      <c r="I20" s="11">
        <f>($F20+IF(INDEX(Упражнения!$F$2:$F$13,MATCH($C20,Упражнения!$A$2:$A$13,0))="да",Модель!$B$24,0))*$G20*$H20</f>
        <v/>
      </c>
      <c r="J20" s="11">
        <f>ROUND(($F20+IF(INDEX(Упражнения!$F$2:$F$13,MATCH($C20,Упражнения!$A$2:$A$13,0))="да",Модель!$B$24,0))*(1+$H20/30),1)</f>
        <v/>
      </c>
      <c r="K20" s="11">
        <f>INT(($B20-Модель!$B$28)/7)+1</f>
        <v/>
      </c>
      <c r="L20" s="11">
        <f>IF(COUNTIF($B$2:$B20,$B20)=1,1,0)</f>
        <v/>
      </c>
    </row>
    <row r="21">
      <c r="A21" s="11" t="n">
        <v>20</v>
      </c>
      <c r="B21" s="12" t="n">
        <v>46253</v>
      </c>
      <c r="C21" s="9" t="inlineStr">
        <is>
          <t>E09</t>
        </is>
      </c>
      <c r="D21" s="13">
        <f>IFERROR(INDEX(Упражнения!$B$2:$B$13,MATCH($C21,Упражнения!$A$2:$A$13,0)),"нет такого упражнения")</f>
        <v/>
      </c>
      <c r="E21" s="13">
        <f>IFERROR(INDEX(Упражнения!$C$2:$C$13,MATCH($C21,Упражнения!$A$2:$A$13,0)),"")</f>
        <v/>
      </c>
      <c r="F21" s="9" t="n">
        <v>23.8</v>
      </c>
      <c r="G21" s="9" t="n">
        <v>3</v>
      </c>
      <c r="H21" s="9" t="n">
        <v>10</v>
      </c>
      <c r="I21" s="11">
        <f>($F21+IF(INDEX(Упражнения!$F$2:$F$13,MATCH($C21,Упражнения!$A$2:$A$13,0))="да",Модель!$B$24,0))*$G21*$H21</f>
        <v/>
      </c>
      <c r="J21" s="11">
        <f>ROUND(($F21+IF(INDEX(Упражнения!$F$2:$F$13,MATCH($C21,Упражнения!$A$2:$A$13,0))="да",Модель!$B$24,0))*(1+$H21/30),1)</f>
        <v/>
      </c>
      <c r="K21" s="11">
        <f>INT(($B21-Модель!$B$28)/7)+1</f>
        <v/>
      </c>
      <c r="L21" s="11">
        <f>IF(COUNTIF($B$2:$B21,$B21)=1,1,0)</f>
        <v/>
      </c>
    </row>
    <row r="22">
      <c r="A22" s="11" t="n">
        <v>21</v>
      </c>
      <c r="B22" s="12" t="n">
        <v>46255</v>
      </c>
      <c r="C22" s="9" t="inlineStr">
        <is>
          <t>E11</t>
        </is>
      </c>
      <c r="D22" s="13">
        <f>IFERROR(INDEX(Упражнения!$B$2:$B$13,MATCH($C22,Упражнения!$A$2:$A$13,0)),"нет такого упражнения")</f>
        <v/>
      </c>
      <c r="E22" s="13">
        <f>IFERROR(INDEX(Упражнения!$C$2:$C$13,MATCH($C22,Упражнения!$A$2:$A$13,0)),"")</f>
        <v/>
      </c>
      <c r="F22" s="9" t="n">
        <v>130</v>
      </c>
      <c r="G22" s="9" t="n">
        <v>4</v>
      </c>
      <c r="H22" s="9" t="n">
        <v>10</v>
      </c>
      <c r="I22" s="11">
        <f>($F22+IF(INDEX(Упражнения!$F$2:$F$13,MATCH($C22,Упражнения!$A$2:$A$13,0))="да",Модель!$B$24,0))*$G22*$H22</f>
        <v/>
      </c>
      <c r="J22" s="11">
        <f>ROUND(($F22+IF(INDEX(Упражнения!$F$2:$F$13,MATCH($C22,Упражнения!$A$2:$A$13,0))="да",Модель!$B$24,0))*(1+$H22/30),1)</f>
        <v/>
      </c>
      <c r="K22" s="11">
        <f>INT(($B22-Модель!$B$28)/7)+1</f>
        <v/>
      </c>
      <c r="L22" s="11">
        <f>IF(COUNTIF($B$2:$B22,$B22)=1,1,0)</f>
        <v/>
      </c>
    </row>
    <row r="23">
      <c r="A23" s="11" t="n">
        <v>22</v>
      </c>
      <c r="B23" s="12" t="n">
        <v>46255</v>
      </c>
      <c r="C23" s="9" t="inlineStr">
        <is>
          <t>E05</t>
        </is>
      </c>
      <c r="D23" s="13">
        <f>IFERROR(INDEX(Упражнения!$B$2:$B$13,MATCH($C23,Упражнения!$A$2:$A$13,0)),"нет такого упражнения")</f>
        <v/>
      </c>
      <c r="E23" s="13">
        <f>IFERROR(INDEX(Упражнения!$C$2:$C$13,MATCH($C23,Упражнения!$A$2:$A$13,0)),"")</f>
        <v/>
      </c>
      <c r="F23" s="9" t="n">
        <v>34</v>
      </c>
      <c r="G23" s="9" t="n">
        <v>4</v>
      </c>
      <c r="H23" s="9" t="n">
        <v>10</v>
      </c>
      <c r="I23" s="11">
        <f>($F23+IF(INDEX(Упражнения!$F$2:$F$13,MATCH($C23,Упражнения!$A$2:$A$13,0))="да",Модель!$B$24,0))*$G23*$H23</f>
        <v/>
      </c>
      <c r="J23" s="11">
        <f>ROUND(($F23+IF(INDEX(Упражнения!$F$2:$F$13,MATCH($C23,Упражнения!$A$2:$A$13,0))="да",Модель!$B$24,0))*(1+$H23/30),1)</f>
        <v/>
      </c>
      <c r="K23" s="11">
        <f>INT(($B23-Модель!$B$28)/7)+1</f>
        <v/>
      </c>
      <c r="L23" s="11">
        <f>IF(COUNTIF($B$2:$B23,$B23)=1,1,0)</f>
        <v/>
      </c>
    </row>
    <row r="24">
      <c r="A24" s="11" t="n">
        <v>23</v>
      </c>
      <c r="B24" s="12" t="n">
        <v>46255</v>
      </c>
      <c r="C24" s="9" t="inlineStr">
        <is>
          <t>E07</t>
        </is>
      </c>
      <c r="D24" s="13">
        <f>IFERROR(INDEX(Упражнения!$B$2:$B$13,MATCH($C24,Упражнения!$A$2:$A$13,0)),"нет такого упражнения")</f>
        <v/>
      </c>
      <c r="E24" s="13">
        <f>IFERROR(INDEX(Упражнения!$C$2:$C$13,MATCH($C24,Упражнения!$A$2:$A$13,0)),"")</f>
        <v/>
      </c>
      <c r="F24" s="9" t="n">
        <v>0</v>
      </c>
      <c r="G24" s="9" t="n">
        <v>3</v>
      </c>
      <c r="H24" s="9" t="n">
        <v>10</v>
      </c>
      <c r="I24" s="11">
        <f>($F24+IF(INDEX(Упражнения!$F$2:$F$13,MATCH($C24,Упражнения!$A$2:$A$13,0))="да",Модель!$B$24,0))*$G24*$H24</f>
        <v/>
      </c>
      <c r="J24" s="11">
        <f>ROUND(($F24+IF(INDEX(Упражнения!$F$2:$F$13,MATCH($C24,Упражнения!$A$2:$A$13,0))="да",Модель!$B$24,0))*(1+$H24/30),1)</f>
        <v/>
      </c>
      <c r="K24" s="11">
        <f>INT(($B24-Модель!$B$28)/7)+1</f>
        <v/>
      </c>
      <c r="L24" s="11">
        <f>IF(COUNTIF($B$2:$B24,$B24)=1,1,0)</f>
        <v/>
      </c>
    </row>
    <row r="25">
      <c r="A25" s="11" t="n">
        <v>24</v>
      </c>
      <c r="B25" s="12" t="n">
        <v>46255</v>
      </c>
      <c r="C25" s="9" t="inlineStr">
        <is>
          <t>E10</t>
        </is>
      </c>
      <c r="D25" s="13">
        <f>IFERROR(INDEX(Упражнения!$B$2:$B$13,MATCH($C25,Упражнения!$A$2:$A$13,0)),"нет такого упражнения")</f>
        <v/>
      </c>
      <c r="E25" s="13">
        <f>IFERROR(INDEX(Упражнения!$C$2:$C$13,MATCH($C25,Упражнения!$A$2:$A$13,0)),"")</f>
        <v/>
      </c>
      <c r="F25" s="9" t="n">
        <v>32.5</v>
      </c>
      <c r="G25" s="9" t="n">
        <v>3</v>
      </c>
      <c r="H25" s="9" t="n">
        <v>12</v>
      </c>
      <c r="I25" s="11">
        <f>($F25+IF(INDEX(Упражнения!$F$2:$F$13,MATCH($C25,Упражнения!$A$2:$A$13,0))="да",Модель!$B$24,0))*$G25*$H25</f>
        <v/>
      </c>
      <c r="J25" s="11">
        <f>ROUND(($F25+IF(INDEX(Упражнения!$F$2:$F$13,MATCH($C25,Упражнения!$A$2:$A$13,0))="да",Модель!$B$24,0))*(1+$H25/30),1)</f>
        <v/>
      </c>
      <c r="K25" s="11">
        <f>INT(($B25-Модель!$B$28)/7)+1</f>
        <v/>
      </c>
      <c r="L25" s="11">
        <f>IF(COUNTIF($B$2:$B25,$B25)=1,1,0)</f>
        <v/>
      </c>
    </row>
    <row r="26">
      <c r="A26" s="11" t="n">
        <v>25</v>
      </c>
      <c r="B26" s="12" t="n">
        <v>46258</v>
      </c>
      <c r="C26" s="9" t="inlineStr">
        <is>
          <t>E01</t>
        </is>
      </c>
      <c r="D26" s="13">
        <f>IFERROR(INDEX(Упражнения!$B$2:$B$13,MATCH($C26,Упражнения!$A$2:$A$13,0)),"нет такого упражнения")</f>
        <v/>
      </c>
      <c r="E26" s="13">
        <f>IFERROR(INDEX(Упражнения!$C$2:$C$13,MATCH($C26,Упражнения!$A$2:$A$13,0)),"")</f>
        <v/>
      </c>
      <c r="F26" s="9" t="n">
        <v>70</v>
      </c>
      <c r="G26" s="9" t="n">
        <v>5</v>
      </c>
      <c r="H26" s="9" t="n">
        <v>5</v>
      </c>
      <c r="I26" s="11">
        <f>($F26+IF(INDEX(Упражнения!$F$2:$F$13,MATCH($C26,Упражнения!$A$2:$A$13,0))="да",Модель!$B$24,0))*$G26*$H26</f>
        <v/>
      </c>
      <c r="J26" s="11">
        <f>ROUND(($F26+IF(INDEX(Упражнения!$F$2:$F$13,MATCH($C26,Упражнения!$A$2:$A$13,0))="да",Модель!$B$24,0))*(1+$H26/30),1)</f>
        <v/>
      </c>
      <c r="K26" s="11">
        <f>INT(($B26-Модель!$B$28)/7)+1</f>
        <v/>
      </c>
      <c r="L26" s="11">
        <f>IF(COUNTIF($B$2:$B26,$B26)=1,1,0)</f>
        <v/>
      </c>
    </row>
    <row r="27">
      <c r="A27" s="11" t="n">
        <v>26</v>
      </c>
      <c r="B27" s="12" t="n">
        <v>46258</v>
      </c>
      <c r="C27" s="9" t="inlineStr">
        <is>
          <t>E02</t>
        </is>
      </c>
      <c r="D27" s="13">
        <f>IFERROR(INDEX(Упражнения!$B$2:$B$13,MATCH($C27,Упражнения!$A$2:$A$13,0)),"нет такого упражнения")</f>
        <v/>
      </c>
      <c r="E27" s="13">
        <f>IFERROR(INDEX(Упражнения!$C$2:$C$13,MATCH($C27,Упражнения!$A$2:$A$13,0)),"")</f>
        <v/>
      </c>
      <c r="F27" s="9" t="n">
        <v>50</v>
      </c>
      <c r="G27" s="9" t="n">
        <v>5</v>
      </c>
      <c r="H27" s="9" t="n">
        <v>5</v>
      </c>
      <c r="I27" s="11">
        <f>($F27+IF(INDEX(Упражнения!$F$2:$F$13,MATCH($C27,Упражнения!$A$2:$A$13,0))="да",Модель!$B$24,0))*$G27*$H27</f>
        <v/>
      </c>
      <c r="J27" s="11">
        <f>ROUND(($F27+IF(INDEX(Упражнения!$F$2:$F$13,MATCH($C27,Упражнения!$A$2:$A$13,0))="да",Модель!$B$24,0))*(1+$H27/30),1)</f>
        <v/>
      </c>
      <c r="K27" s="11">
        <f>INT(($B27-Модель!$B$28)/7)+1</f>
        <v/>
      </c>
      <c r="L27" s="11">
        <f>IF(COUNTIF($B$2:$B27,$B27)=1,1,0)</f>
        <v/>
      </c>
    </row>
    <row r="28">
      <c r="A28" s="11" t="n">
        <v>27</v>
      </c>
      <c r="B28" s="12" t="n">
        <v>46258</v>
      </c>
      <c r="C28" s="9" t="inlineStr">
        <is>
          <t>E08</t>
        </is>
      </c>
      <c r="D28" s="13">
        <f>IFERROR(INDEX(Упражнения!$B$2:$B$13,MATCH($C28,Упражнения!$A$2:$A$13,0)),"нет такого упражнения")</f>
        <v/>
      </c>
      <c r="E28" s="13">
        <f>IFERROR(INDEX(Упражнения!$C$2:$C$13,MATCH($C28,Упражнения!$A$2:$A$13,0)),"")</f>
        <v/>
      </c>
      <c r="F28" s="9" t="n">
        <v>27.5</v>
      </c>
      <c r="G28" s="9" t="n">
        <v>3</v>
      </c>
      <c r="H28" s="9" t="n">
        <v>10</v>
      </c>
      <c r="I28" s="11">
        <f>($F28+IF(INDEX(Упражнения!$F$2:$F$13,MATCH($C28,Упражнения!$A$2:$A$13,0))="да",Модель!$B$24,0))*$G28*$H28</f>
        <v/>
      </c>
      <c r="J28" s="11">
        <f>ROUND(($F28+IF(INDEX(Упражнения!$F$2:$F$13,MATCH($C28,Упражнения!$A$2:$A$13,0))="да",Модель!$B$24,0))*(1+$H28/30),1)</f>
        <v/>
      </c>
      <c r="K28" s="11">
        <f>INT(($B28-Модель!$B$28)/7)+1</f>
        <v/>
      </c>
      <c r="L28" s="11">
        <f>IF(COUNTIF($B$2:$B28,$B28)=1,1,0)</f>
        <v/>
      </c>
    </row>
    <row r="29">
      <c r="A29" s="11" t="n">
        <v>28</v>
      </c>
      <c r="B29" s="12" t="n">
        <v>46258</v>
      </c>
      <c r="C29" s="9" t="inlineStr">
        <is>
          <t>E12</t>
        </is>
      </c>
      <c r="D29" s="13">
        <f>IFERROR(INDEX(Упражнения!$B$2:$B$13,MATCH($C29,Упражнения!$A$2:$A$13,0)),"нет такого упражнения")</f>
        <v/>
      </c>
      <c r="E29" s="13">
        <f>IFERROR(INDEX(Упражнения!$C$2:$C$13,MATCH($C29,Упражнения!$A$2:$A$13,0)),"")</f>
        <v/>
      </c>
      <c r="F29" s="9" t="n">
        <v>0</v>
      </c>
      <c r="G29" s="9" t="n">
        <v>3</v>
      </c>
      <c r="H29" s="9" t="n">
        <v>20</v>
      </c>
      <c r="I29" s="11">
        <f>($F29+IF(INDEX(Упражнения!$F$2:$F$13,MATCH($C29,Упражнения!$A$2:$A$13,0))="да",Модель!$B$24,0))*$G29*$H29</f>
        <v/>
      </c>
      <c r="J29" s="11">
        <f>ROUND(($F29+IF(INDEX(Упражнения!$F$2:$F$13,MATCH($C29,Упражнения!$A$2:$A$13,0))="да",Модель!$B$24,0))*(1+$H29/30),1)</f>
        <v/>
      </c>
      <c r="K29" s="11">
        <f>INT(($B29-Модель!$B$28)/7)+1</f>
        <v/>
      </c>
      <c r="L29" s="11">
        <f>IF(COUNTIF($B$2:$B29,$B29)=1,1,0)</f>
        <v/>
      </c>
    </row>
    <row r="30">
      <c r="A30" s="11" t="n">
        <v>29</v>
      </c>
      <c r="B30" s="12" t="n">
        <v>46260</v>
      </c>
      <c r="C30" s="9" t="inlineStr">
        <is>
          <t>E03</t>
        </is>
      </c>
      <c r="D30" s="13">
        <f>IFERROR(INDEX(Упражнения!$B$2:$B$13,MATCH($C30,Упражнения!$A$2:$A$13,0)),"нет такого упражнения")</f>
        <v/>
      </c>
      <c r="E30" s="13">
        <f>IFERROR(INDEX(Упражнения!$C$2:$C$13,MATCH($C30,Упражнения!$A$2:$A$13,0)),"")</f>
        <v/>
      </c>
      <c r="F30" s="9" t="n">
        <v>80</v>
      </c>
      <c r="G30" s="9" t="n">
        <v>5</v>
      </c>
      <c r="H30" s="9" t="n">
        <v>5</v>
      </c>
      <c r="I30" s="11">
        <f>($F30+IF(INDEX(Упражнения!$F$2:$F$13,MATCH($C30,Упражнения!$A$2:$A$13,0))="да",Модель!$B$24,0))*$G30*$H30</f>
        <v/>
      </c>
      <c r="J30" s="11">
        <f>ROUND(($F30+IF(INDEX(Упражнения!$F$2:$F$13,MATCH($C30,Упражнения!$A$2:$A$13,0))="да",Модель!$B$24,0))*(1+$H30/30),1)</f>
        <v/>
      </c>
      <c r="K30" s="11">
        <f>INT(($B30-Модель!$B$28)/7)+1</f>
        <v/>
      </c>
      <c r="L30" s="11">
        <f>IF(COUNTIF($B$2:$B30,$B30)=1,1,0)</f>
        <v/>
      </c>
    </row>
    <row r="31">
      <c r="A31" s="11" t="n">
        <v>30</v>
      </c>
      <c r="B31" s="12" t="n">
        <v>46260</v>
      </c>
      <c r="C31" s="9" t="inlineStr">
        <is>
          <t>E04</t>
        </is>
      </c>
      <c r="D31" s="13">
        <f>IFERROR(INDEX(Упражнения!$B$2:$B$13,MATCH($C31,Упражнения!$A$2:$A$13,0)),"нет такого упражнения")</f>
        <v/>
      </c>
      <c r="E31" s="13">
        <f>IFERROR(INDEX(Упражнения!$C$2:$C$13,MATCH($C31,Упражнения!$A$2:$A$13,0)),"")</f>
        <v/>
      </c>
      <c r="F31" s="9" t="n">
        <v>45</v>
      </c>
      <c r="G31" s="9" t="n">
        <v>4</v>
      </c>
      <c r="H31" s="9" t="n">
        <v>8</v>
      </c>
      <c r="I31" s="11">
        <f>($F31+IF(INDEX(Упражнения!$F$2:$F$13,MATCH($C31,Упражнения!$A$2:$A$13,0))="да",Модель!$B$24,0))*$G31*$H31</f>
        <v/>
      </c>
      <c r="J31" s="11">
        <f>ROUND(($F31+IF(INDEX(Упражнения!$F$2:$F$13,MATCH($C31,Упражнения!$A$2:$A$13,0))="да",Модель!$B$24,0))*(1+$H31/30),1)</f>
        <v/>
      </c>
      <c r="K31" s="11">
        <f>INT(($B31-Модель!$B$28)/7)+1</f>
        <v/>
      </c>
      <c r="L31" s="11">
        <f>IF(COUNTIF($B$2:$B31,$B31)=1,1,0)</f>
        <v/>
      </c>
    </row>
    <row r="32">
      <c r="A32" s="11" t="n">
        <v>31</v>
      </c>
      <c r="B32" s="12" t="n">
        <v>46260</v>
      </c>
      <c r="C32" s="9" t="inlineStr">
        <is>
          <t>E06</t>
        </is>
      </c>
      <c r="D32" s="13">
        <f>IFERROR(INDEX(Упражнения!$B$2:$B$13,MATCH($C32,Упражнения!$A$2:$A$13,0)),"нет такого упражнения")</f>
        <v/>
      </c>
      <c r="E32" s="13">
        <f>IFERROR(INDEX(Упражнения!$C$2:$C$13,MATCH($C32,Упражнения!$A$2:$A$13,0)),"")</f>
        <v/>
      </c>
      <c r="F32" s="9" t="n">
        <v>0</v>
      </c>
      <c r="G32" s="9" t="n">
        <v>4</v>
      </c>
      <c r="H32" s="9" t="n">
        <v>8</v>
      </c>
      <c r="I32" s="11">
        <f>($F32+IF(INDEX(Упражнения!$F$2:$F$13,MATCH($C32,Упражнения!$A$2:$A$13,0))="да",Модель!$B$24,0))*$G32*$H32</f>
        <v/>
      </c>
      <c r="J32" s="11">
        <f>ROUND(($F32+IF(INDEX(Упражнения!$F$2:$F$13,MATCH($C32,Упражнения!$A$2:$A$13,0))="да",Модель!$B$24,0))*(1+$H32/30),1)</f>
        <v/>
      </c>
      <c r="K32" s="11">
        <f>INT(($B32-Модель!$B$28)/7)+1</f>
        <v/>
      </c>
      <c r="L32" s="11">
        <f>IF(COUNTIF($B$2:$B32,$B32)=1,1,0)</f>
        <v/>
      </c>
    </row>
    <row r="33">
      <c r="A33" s="11" t="n">
        <v>32</v>
      </c>
      <c r="B33" s="12" t="n">
        <v>46260</v>
      </c>
      <c r="C33" s="9" t="inlineStr">
        <is>
          <t>E09</t>
        </is>
      </c>
      <c r="D33" s="13">
        <f>IFERROR(INDEX(Упражнения!$B$2:$B$13,MATCH($C33,Упражнения!$A$2:$A$13,0)),"нет такого упражнения")</f>
        <v/>
      </c>
      <c r="E33" s="13">
        <f>IFERROR(INDEX(Упражнения!$C$2:$C$13,MATCH($C33,Упражнения!$A$2:$A$13,0)),"")</f>
        <v/>
      </c>
      <c r="F33" s="9" t="n">
        <v>25</v>
      </c>
      <c r="G33" s="9" t="n">
        <v>3</v>
      </c>
      <c r="H33" s="9" t="n">
        <v>10</v>
      </c>
      <c r="I33" s="11">
        <f>($F33+IF(INDEX(Упражнения!$F$2:$F$13,MATCH($C33,Упражнения!$A$2:$A$13,0))="да",Модель!$B$24,0))*$G33*$H33</f>
        <v/>
      </c>
      <c r="J33" s="11">
        <f>ROUND(($F33+IF(INDEX(Упражнения!$F$2:$F$13,MATCH($C33,Упражнения!$A$2:$A$13,0))="да",Модель!$B$24,0))*(1+$H33/30),1)</f>
        <v/>
      </c>
      <c r="K33" s="11">
        <f>INT(($B33-Модель!$B$28)/7)+1</f>
        <v/>
      </c>
      <c r="L33" s="11">
        <f>IF(COUNTIF($B$2:$B33,$B33)=1,1,0)</f>
        <v/>
      </c>
    </row>
    <row r="34">
      <c r="A34" s="11" t="n">
        <v>33</v>
      </c>
      <c r="B34" s="12" t="n">
        <v>46262</v>
      </c>
      <c r="C34" s="9" t="inlineStr">
        <is>
          <t>E11</t>
        </is>
      </c>
      <c r="D34" s="13">
        <f>IFERROR(INDEX(Упражнения!$B$2:$B$13,MATCH($C34,Упражнения!$A$2:$A$13,0)),"нет такого упражнения")</f>
        <v/>
      </c>
      <c r="E34" s="13">
        <f>IFERROR(INDEX(Упражнения!$C$2:$C$13,MATCH($C34,Упражнения!$A$2:$A$13,0)),"")</f>
        <v/>
      </c>
      <c r="F34" s="9" t="n">
        <v>140</v>
      </c>
      <c r="G34" s="9" t="n">
        <v>4</v>
      </c>
      <c r="H34" s="9" t="n">
        <v>10</v>
      </c>
      <c r="I34" s="11">
        <f>($F34+IF(INDEX(Упражнения!$F$2:$F$13,MATCH($C34,Упражнения!$A$2:$A$13,0))="да",Модель!$B$24,0))*$G34*$H34</f>
        <v/>
      </c>
      <c r="J34" s="11">
        <f>ROUND(($F34+IF(INDEX(Упражнения!$F$2:$F$13,MATCH($C34,Упражнения!$A$2:$A$13,0))="да",Модель!$B$24,0))*(1+$H34/30),1)</f>
        <v/>
      </c>
      <c r="K34" s="11">
        <f>INT(($B34-Модель!$B$28)/7)+1</f>
        <v/>
      </c>
      <c r="L34" s="11">
        <f>IF(COUNTIF($B$2:$B34,$B34)=1,1,0)</f>
        <v/>
      </c>
    </row>
    <row r="35">
      <c r="A35" s="11" t="n">
        <v>34</v>
      </c>
      <c r="B35" s="12" t="n">
        <v>46262</v>
      </c>
      <c r="C35" s="9" t="inlineStr">
        <is>
          <t>E05</t>
        </is>
      </c>
      <c r="D35" s="13">
        <f>IFERROR(INDEX(Упражнения!$B$2:$B$13,MATCH($C35,Упражнения!$A$2:$A$13,0)),"нет такого упражнения")</f>
        <v/>
      </c>
      <c r="E35" s="13">
        <f>IFERROR(INDEX(Упражнения!$C$2:$C$13,MATCH($C35,Упражнения!$A$2:$A$13,0)),"")</f>
        <v/>
      </c>
      <c r="F35" s="9" t="n">
        <v>36</v>
      </c>
      <c r="G35" s="9" t="n">
        <v>4</v>
      </c>
      <c r="H35" s="9" t="n">
        <v>10</v>
      </c>
      <c r="I35" s="11">
        <f>($F35+IF(INDEX(Упражнения!$F$2:$F$13,MATCH($C35,Упражнения!$A$2:$A$13,0))="да",Модель!$B$24,0))*$G35*$H35</f>
        <v/>
      </c>
      <c r="J35" s="11">
        <f>ROUND(($F35+IF(INDEX(Упражнения!$F$2:$F$13,MATCH($C35,Упражнения!$A$2:$A$13,0))="да",Модель!$B$24,0))*(1+$H35/30),1)</f>
        <v/>
      </c>
      <c r="K35" s="11">
        <f>INT(($B35-Модель!$B$28)/7)+1</f>
        <v/>
      </c>
      <c r="L35" s="11">
        <f>IF(COUNTIF($B$2:$B35,$B35)=1,1,0)</f>
        <v/>
      </c>
    </row>
    <row r="36">
      <c r="A36" s="11" t="n">
        <v>35</v>
      </c>
      <c r="B36" s="12" t="n">
        <v>46262</v>
      </c>
      <c r="C36" s="9" t="inlineStr">
        <is>
          <t>E07</t>
        </is>
      </c>
      <c r="D36" s="13">
        <f>IFERROR(INDEX(Упражнения!$B$2:$B$13,MATCH($C36,Упражнения!$A$2:$A$13,0)),"нет такого упражнения")</f>
        <v/>
      </c>
      <c r="E36" s="13">
        <f>IFERROR(INDEX(Упражнения!$C$2:$C$13,MATCH($C36,Упражнения!$A$2:$A$13,0)),"")</f>
        <v/>
      </c>
      <c r="F36" s="9" t="n">
        <v>0</v>
      </c>
      <c r="G36" s="9" t="n">
        <v>3</v>
      </c>
      <c r="H36" s="9" t="n">
        <v>10</v>
      </c>
      <c r="I36" s="11">
        <f>($F36+IF(INDEX(Упражнения!$F$2:$F$13,MATCH($C36,Упражнения!$A$2:$A$13,0))="да",Модель!$B$24,0))*$G36*$H36</f>
        <v/>
      </c>
      <c r="J36" s="11">
        <f>ROUND(($F36+IF(INDEX(Упражнения!$F$2:$F$13,MATCH($C36,Упражнения!$A$2:$A$13,0))="да",Модель!$B$24,0))*(1+$H36/30),1)</f>
        <v/>
      </c>
      <c r="K36" s="11">
        <f>INT(($B36-Модель!$B$28)/7)+1</f>
        <v/>
      </c>
      <c r="L36" s="11">
        <f>IF(COUNTIF($B$2:$B36,$B36)=1,1,0)</f>
        <v/>
      </c>
    </row>
    <row r="37">
      <c r="A37" s="11" t="n">
        <v>36</v>
      </c>
      <c r="B37" s="12" t="n">
        <v>46262</v>
      </c>
      <c r="C37" s="9" t="inlineStr">
        <is>
          <t>E10</t>
        </is>
      </c>
      <c r="D37" s="13">
        <f>IFERROR(INDEX(Упражнения!$B$2:$B$13,MATCH($C37,Упражнения!$A$2:$A$13,0)),"нет такого упражнения")</f>
        <v/>
      </c>
      <c r="E37" s="13">
        <f>IFERROR(INDEX(Упражнения!$C$2:$C$13,MATCH($C37,Упражнения!$A$2:$A$13,0)),"")</f>
        <v/>
      </c>
      <c r="F37" s="9" t="n">
        <v>35</v>
      </c>
      <c r="G37" s="9" t="n">
        <v>3</v>
      </c>
      <c r="H37" s="9" t="n">
        <v>12</v>
      </c>
      <c r="I37" s="11">
        <f>($F37+IF(INDEX(Упражнения!$F$2:$F$13,MATCH($C37,Упражнения!$A$2:$A$13,0))="да",Модель!$B$24,0))*$G37*$H37</f>
        <v/>
      </c>
      <c r="J37" s="11">
        <f>ROUND(($F37+IF(INDEX(Упражнения!$F$2:$F$13,MATCH($C37,Упражнения!$A$2:$A$13,0))="да",Модель!$B$24,0))*(1+$H37/30),1)</f>
        <v/>
      </c>
      <c r="K37" s="11">
        <f>INT(($B37-Модель!$B$28)/7)+1</f>
        <v/>
      </c>
      <c r="L37" s="11">
        <f>IF(COUNTIF($B$2:$B37,$B37)=1,1,0)</f>
        <v/>
      </c>
    </row>
    <row r="38">
      <c r="A38" s="11" t="n">
        <v>37</v>
      </c>
      <c r="B38" s="12" t="n">
        <v>46265</v>
      </c>
      <c r="C38" s="9" t="inlineStr">
        <is>
          <t>E01</t>
        </is>
      </c>
      <c r="D38" s="13">
        <f>IFERROR(INDEX(Упражнения!$B$2:$B$13,MATCH($C38,Упражнения!$A$2:$A$13,0)),"нет такого упражнения")</f>
        <v/>
      </c>
      <c r="E38" s="13">
        <f>IFERROR(INDEX(Упражнения!$C$2:$C$13,MATCH($C38,Упражнения!$A$2:$A$13,0)),"")</f>
        <v/>
      </c>
      <c r="F38" s="9" t="n">
        <v>75</v>
      </c>
      <c r="G38" s="9" t="n">
        <v>5</v>
      </c>
      <c r="H38" s="9" t="n">
        <v>5</v>
      </c>
      <c r="I38" s="11">
        <f>($F38+IF(INDEX(Упражнения!$F$2:$F$13,MATCH($C38,Упражнения!$A$2:$A$13,0))="да",Модель!$B$24,0))*$G38*$H38</f>
        <v/>
      </c>
      <c r="J38" s="11">
        <f>ROUND(($F38+IF(INDEX(Упражнения!$F$2:$F$13,MATCH($C38,Упражнения!$A$2:$A$13,0))="да",Модель!$B$24,0))*(1+$H38/30),1)</f>
        <v/>
      </c>
      <c r="K38" s="11">
        <f>INT(($B38-Модель!$B$28)/7)+1</f>
        <v/>
      </c>
      <c r="L38" s="11">
        <f>IF(COUNTIF($B$2:$B38,$B38)=1,1,0)</f>
        <v/>
      </c>
    </row>
    <row r="39">
      <c r="A39" s="11" t="n">
        <v>38</v>
      </c>
      <c r="B39" s="12" t="n">
        <v>46265</v>
      </c>
      <c r="C39" s="9" t="inlineStr">
        <is>
          <t>E02</t>
        </is>
      </c>
      <c r="D39" s="13">
        <f>IFERROR(INDEX(Упражнения!$B$2:$B$13,MATCH($C39,Упражнения!$A$2:$A$13,0)),"нет такого упражнения")</f>
        <v/>
      </c>
      <c r="E39" s="13">
        <f>IFERROR(INDEX(Упражнения!$C$2:$C$13,MATCH($C39,Упражнения!$A$2:$A$13,0)),"")</f>
        <v/>
      </c>
      <c r="F39" s="9" t="n">
        <v>52.5</v>
      </c>
      <c r="G39" s="9" t="n">
        <v>5</v>
      </c>
      <c r="H39" s="9" t="n">
        <v>5</v>
      </c>
      <c r="I39" s="11">
        <f>($F39+IF(INDEX(Упражнения!$F$2:$F$13,MATCH($C39,Упражнения!$A$2:$A$13,0))="да",Модель!$B$24,0))*$G39*$H39</f>
        <v/>
      </c>
      <c r="J39" s="11">
        <f>ROUND(($F39+IF(INDEX(Упражнения!$F$2:$F$13,MATCH($C39,Упражнения!$A$2:$A$13,0))="да",Модель!$B$24,0))*(1+$H39/30),1)</f>
        <v/>
      </c>
      <c r="K39" s="11">
        <f>INT(($B39-Модель!$B$28)/7)+1</f>
        <v/>
      </c>
      <c r="L39" s="11">
        <f>IF(COUNTIF($B$2:$B39,$B39)=1,1,0)</f>
        <v/>
      </c>
    </row>
    <row r="40">
      <c r="A40" s="11" t="n">
        <v>39</v>
      </c>
      <c r="B40" s="12" t="n">
        <v>46265</v>
      </c>
      <c r="C40" s="9" t="inlineStr">
        <is>
          <t>E08</t>
        </is>
      </c>
      <c r="D40" s="13">
        <f>IFERROR(INDEX(Упражнения!$B$2:$B$13,MATCH($C40,Упражнения!$A$2:$A$13,0)),"нет такого упражнения")</f>
        <v/>
      </c>
      <c r="E40" s="13">
        <f>IFERROR(INDEX(Упражнения!$C$2:$C$13,MATCH($C40,Упражнения!$A$2:$A$13,0)),"")</f>
        <v/>
      </c>
      <c r="F40" s="9" t="n">
        <v>28.8</v>
      </c>
      <c r="G40" s="9" t="n">
        <v>3</v>
      </c>
      <c r="H40" s="9" t="n">
        <v>10</v>
      </c>
      <c r="I40" s="11">
        <f>($F40+IF(INDEX(Упражнения!$F$2:$F$13,MATCH($C40,Упражнения!$A$2:$A$13,0))="да",Модель!$B$24,0))*$G40*$H40</f>
        <v/>
      </c>
      <c r="J40" s="11">
        <f>ROUND(($F40+IF(INDEX(Упражнения!$F$2:$F$13,MATCH($C40,Упражнения!$A$2:$A$13,0))="да",Модель!$B$24,0))*(1+$H40/30),1)</f>
        <v/>
      </c>
      <c r="K40" s="11">
        <f>INT(($B40-Модель!$B$28)/7)+1</f>
        <v/>
      </c>
      <c r="L40" s="11">
        <f>IF(COUNTIF($B$2:$B40,$B40)=1,1,0)</f>
        <v/>
      </c>
    </row>
    <row r="41">
      <c r="A41" s="11" t="n">
        <v>40</v>
      </c>
      <c r="B41" s="12" t="n">
        <v>46265</v>
      </c>
      <c r="C41" s="9" t="inlineStr">
        <is>
          <t>E12</t>
        </is>
      </c>
      <c r="D41" s="13">
        <f>IFERROR(INDEX(Упражнения!$B$2:$B$13,MATCH($C41,Упражнения!$A$2:$A$13,0)),"нет такого упражнения")</f>
        <v/>
      </c>
      <c r="E41" s="13">
        <f>IFERROR(INDEX(Упражнения!$C$2:$C$13,MATCH($C41,Упражнения!$A$2:$A$13,0)),"")</f>
        <v/>
      </c>
      <c r="F41" s="9" t="n">
        <v>0</v>
      </c>
      <c r="G41" s="9" t="n">
        <v>3</v>
      </c>
      <c r="H41" s="9" t="n">
        <v>20</v>
      </c>
      <c r="I41" s="11">
        <f>($F41+IF(INDEX(Упражнения!$F$2:$F$13,MATCH($C41,Упражнения!$A$2:$A$13,0))="да",Модель!$B$24,0))*$G41*$H41</f>
        <v/>
      </c>
      <c r="J41" s="11">
        <f>ROUND(($F41+IF(INDEX(Упражнения!$F$2:$F$13,MATCH($C41,Упражнения!$A$2:$A$13,0))="да",Модель!$B$24,0))*(1+$H41/30),1)</f>
        <v/>
      </c>
      <c r="K41" s="11">
        <f>INT(($B41-Модель!$B$28)/7)+1</f>
        <v/>
      </c>
      <c r="L41" s="11">
        <f>IF(COUNTIF($B$2:$B41,$B41)=1,1,0)</f>
        <v/>
      </c>
    </row>
    <row r="42">
      <c r="A42" s="11" t="n">
        <v>41</v>
      </c>
      <c r="B42" s="12" t="n">
        <v>46267</v>
      </c>
      <c r="C42" s="9" t="inlineStr">
        <is>
          <t>E03</t>
        </is>
      </c>
      <c r="D42" s="13">
        <f>IFERROR(INDEX(Упражнения!$B$2:$B$13,MATCH($C42,Упражнения!$A$2:$A$13,0)),"нет такого упражнения")</f>
        <v/>
      </c>
      <c r="E42" s="13">
        <f>IFERROR(INDEX(Упражнения!$C$2:$C$13,MATCH($C42,Упражнения!$A$2:$A$13,0)),"")</f>
        <v/>
      </c>
      <c r="F42" s="9" t="n">
        <v>85</v>
      </c>
      <c r="G42" s="9" t="n">
        <v>5</v>
      </c>
      <c r="H42" s="9" t="n">
        <v>5</v>
      </c>
      <c r="I42" s="11">
        <f>($F42+IF(INDEX(Упражнения!$F$2:$F$13,MATCH($C42,Упражнения!$A$2:$A$13,0))="да",Модель!$B$24,0))*$G42*$H42</f>
        <v/>
      </c>
      <c r="J42" s="11">
        <f>ROUND(($F42+IF(INDEX(Упражнения!$F$2:$F$13,MATCH($C42,Упражнения!$A$2:$A$13,0))="да",Модель!$B$24,0))*(1+$H42/30),1)</f>
        <v/>
      </c>
      <c r="K42" s="11">
        <f>INT(($B42-Модель!$B$28)/7)+1</f>
        <v/>
      </c>
      <c r="L42" s="11">
        <f>IF(COUNTIF($B$2:$B42,$B42)=1,1,0)</f>
        <v/>
      </c>
    </row>
    <row r="43">
      <c r="A43" s="11" t="n">
        <v>42</v>
      </c>
      <c r="B43" s="12" t="n">
        <v>46267</v>
      </c>
      <c r="C43" s="9" t="inlineStr">
        <is>
          <t>E04</t>
        </is>
      </c>
      <c r="D43" s="13">
        <f>IFERROR(INDEX(Упражнения!$B$2:$B$13,MATCH($C43,Упражнения!$A$2:$A$13,0)),"нет такого упражнения")</f>
        <v/>
      </c>
      <c r="E43" s="13">
        <f>IFERROR(INDEX(Упражнения!$C$2:$C$13,MATCH($C43,Упражнения!$A$2:$A$13,0)),"")</f>
        <v/>
      </c>
      <c r="F43" s="9" t="n">
        <v>47.5</v>
      </c>
      <c r="G43" s="9" t="n">
        <v>4</v>
      </c>
      <c r="H43" s="9" t="n">
        <v>8</v>
      </c>
      <c r="I43" s="11">
        <f>($F43+IF(INDEX(Упражнения!$F$2:$F$13,MATCH($C43,Упражнения!$A$2:$A$13,0))="да",Модель!$B$24,0))*$G43*$H43</f>
        <v/>
      </c>
      <c r="J43" s="11">
        <f>ROUND(($F43+IF(INDEX(Упражнения!$F$2:$F$13,MATCH($C43,Упражнения!$A$2:$A$13,0))="да",Модель!$B$24,0))*(1+$H43/30),1)</f>
        <v/>
      </c>
      <c r="K43" s="11">
        <f>INT(($B43-Модель!$B$28)/7)+1</f>
        <v/>
      </c>
      <c r="L43" s="11">
        <f>IF(COUNTIF($B$2:$B43,$B43)=1,1,0)</f>
        <v/>
      </c>
    </row>
    <row r="44">
      <c r="A44" s="11" t="n">
        <v>43</v>
      </c>
      <c r="B44" s="12" t="n">
        <v>46267</v>
      </c>
      <c r="C44" s="9" t="inlineStr">
        <is>
          <t>E06</t>
        </is>
      </c>
      <c r="D44" s="13">
        <f>IFERROR(INDEX(Упражнения!$B$2:$B$13,MATCH($C44,Упражнения!$A$2:$A$13,0)),"нет такого упражнения")</f>
        <v/>
      </c>
      <c r="E44" s="13">
        <f>IFERROR(INDEX(Упражнения!$C$2:$C$13,MATCH($C44,Упражнения!$A$2:$A$13,0)),"")</f>
        <v/>
      </c>
      <c r="F44" s="9" t="n">
        <v>0</v>
      </c>
      <c r="G44" s="9" t="n">
        <v>4</v>
      </c>
      <c r="H44" s="9" t="n">
        <v>10</v>
      </c>
      <c r="I44" s="11">
        <f>($F44+IF(INDEX(Упражнения!$F$2:$F$13,MATCH($C44,Упражнения!$A$2:$A$13,0))="да",Модель!$B$24,0))*$G44*$H44</f>
        <v/>
      </c>
      <c r="J44" s="11">
        <f>ROUND(($F44+IF(INDEX(Упражнения!$F$2:$F$13,MATCH($C44,Упражнения!$A$2:$A$13,0))="да",Модель!$B$24,0))*(1+$H44/30),1)</f>
        <v/>
      </c>
      <c r="K44" s="11">
        <f>INT(($B44-Модель!$B$28)/7)+1</f>
        <v/>
      </c>
      <c r="L44" s="11">
        <f>IF(COUNTIF($B$2:$B44,$B44)=1,1,0)</f>
        <v/>
      </c>
    </row>
    <row r="45">
      <c r="A45" s="11" t="n">
        <v>44</v>
      </c>
      <c r="B45" s="12" t="n">
        <v>46267</v>
      </c>
      <c r="C45" s="9" t="inlineStr">
        <is>
          <t>E09</t>
        </is>
      </c>
      <c r="D45" s="13">
        <f>IFERROR(INDEX(Упражнения!$B$2:$B$13,MATCH($C45,Упражнения!$A$2:$A$13,0)),"нет такого упражнения")</f>
        <v/>
      </c>
      <c r="E45" s="13">
        <f>IFERROR(INDEX(Упражнения!$C$2:$C$13,MATCH($C45,Упражнения!$A$2:$A$13,0)),"")</f>
        <v/>
      </c>
      <c r="F45" s="9" t="n">
        <v>26.2</v>
      </c>
      <c r="G45" s="9" t="n">
        <v>3</v>
      </c>
      <c r="H45" s="9" t="n">
        <v>10</v>
      </c>
      <c r="I45" s="11">
        <f>($F45+IF(INDEX(Упражнения!$F$2:$F$13,MATCH($C45,Упражнения!$A$2:$A$13,0))="да",Модель!$B$24,0))*$G45*$H45</f>
        <v/>
      </c>
      <c r="J45" s="11">
        <f>ROUND(($F45+IF(INDEX(Упражнения!$F$2:$F$13,MATCH($C45,Упражнения!$A$2:$A$13,0))="да",Модель!$B$24,0))*(1+$H45/30),1)</f>
        <v/>
      </c>
      <c r="K45" s="11">
        <f>INT(($B45-Модель!$B$28)/7)+1</f>
        <v/>
      </c>
      <c r="L45" s="11">
        <f>IF(COUNTIF($B$2:$B45,$B45)=1,1,0)</f>
        <v/>
      </c>
    </row>
    <row r="46">
      <c r="A46" s="11" t="n">
        <v>45</v>
      </c>
      <c r="B46" s="12" t="n">
        <v>46269</v>
      </c>
      <c r="C46" s="9" t="inlineStr">
        <is>
          <t>E11</t>
        </is>
      </c>
      <c r="D46" s="13">
        <f>IFERROR(INDEX(Упражнения!$B$2:$B$13,MATCH($C46,Упражнения!$A$2:$A$13,0)),"нет такого упражнения")</f>
        <v/>
      </c>
      <c r="E46" s="13">
        <f>IFERROR(INDEX(Упражнения!$C$2:$C$13,MATCH($C46,Упражнения!$A$2:$A$13,0)),"")</f>
        <v/>
      </c>
      <c r="F46" s="9" t="n">
        <v>150</v>
      </c>
      <c r="G46" s="9" t="n">
        <v>4</v>
      </c>
      <c r="H46" s="9" t="n">
        <v>10</v>
      </c>
      <c r="I46" s="11">
        <f>($F46+IF(INDEX(Упражнения!$F$2:$F$13,MATCH($C46,Упражнения!$A$2:$A$13,0))="да",Модель!$B$24,0))*$G46*$H46</f>
        <v/>
      </c>
      <c r="J46" s="11">
        <f>ROUND(($F46+IF(INDEX(Упражнения!$F$2:$F$13,MATCH($C46,Упражнения!$A$2:$A$13,0))="да",Модель!$B$24,0))*(1+$H46/30),1)</f>
        <v/>
      </c>
      <c r="K46" s="11">
        <f>INT(($B46-Модель!$B$28)/7)+1</f>
        <v/>
      </c>
      <c r="L46" s="11">
        <f>IF(COUNTIF($B$2:$B46,$B46)=1,1,0)</f>
        <v/>
      </c>
    </row>
    <row r="47">
      <c r="A47" s="11" t="n">
        <v>46</v>
      </c>
      <c r="B47" s="12" t="n">
        <v>46269</v>
      </c>
      <c r="C47" s="9" t="inlineStr">
        <is>
          <t>E05</t>
        </is>
      </c>
      <c r="D47" s="13">
        <f>IFERROR(INDEX(Упражнения!$B$2:$B$13,MATCH($C47,Упражнения!$A$2:$A$13,0)),"нет такого упражнения")</f>
        <v/>
      </c>
      <c r="E47" s="13">
        <f>IFERROR(INDEX(Упражнения!$C$2:$C$13,MATCH($C47,Упражнения!$A$2:$A$13,0)),"")</f>
        <v/>
      </c>
      <c r="F47" s="9" t="n">
        <v>38</v>
      </c>
      <c r="G47" s="9" t="n">
        <v>4</v>
      </c>
      <c r="H47" s="9" t="n">
        <v>10</v>
      </c>
      <c r="I47" s="11">
        <f>($F47+IF(INDEX(Упражнения!$F$2:$F$13,MATCH($C47,Упражнения!$A$2:$A$13,0))="да",Модель!$B$24,0))*$G47*$H47</f>
        <v/>
      </c>
      <c r="J47" s="11">
        <f>ROUND(($F47+IF(INDEX(Упражнения!$F$2:$F$13,MATCH($C47,Упражнения!$A$2:$A$13,0))="да",Модель!$B$24,0))*(1+$H47/30),1)</f>
        <v/>
      </c>
      <c r="K47" s="11">
        <f>INT(($B47-Модель!$B$28)/7)+1</f>
        <v/>
      </c>
      <c r="L47" s="11">
        <f>IF(COUNTIF($B$2:$B47,$B47)=1,1,0)</f>
        <v/>
      </c>
    </row>
    <row r="48">
      <c r="A48" s="11" t="n">
        <v>47</v>
      </c>
      <c r="B48" s="12" t="n">
        <v>46269</v>
      </c>
      <c r="C48" s="9" t="inlineStr">
        <is>
          <t>E07</t>
        </is>
      </c>
      <c r="D48" s="13">
        <f>IFERROR(INDEX(Упражнения!$B$2:$B$13,MATCH($C48,Упражнения!$A$2:$A$13,0)),"нет такого упражнения")</f>
        <v/>
      </c>
      <c r="E48" s="13">
        <f>IFERROR(INDEX(Упражнения!$C$2:$C$13,MATCH($C48,Упражнения!$A$2:$A$13,0)),"")</f>
        <v/>
      </c>
      <c r="F48" s="9" t="n">
        <v>0</v>
      </c>
      <c r="G48" s="9" t="n">
        <v>3</v>
      </c>
      <c r="H48" s="9" t="n">
        <v>12</v>
      </c>
      <c r="I48" s="11">
        <f>($F48+IF(INDEX(Упражнения!$F$2:$F$13,MATCH($C48,Упражнения!$A$2:$A$13,0))="да",Модель!$B$24,0))*$G48*$H48</f>
        <v/>
      </c>
      <c r="J48" s="11">
        <f>ROUND(($F48+IF(INDEX(Упражнения!$F$2:$F$13,MATCH($C48,Упражнения!$A$2:$A$13,0))="да",Модель!$B$24,0))*(1+$H48/30),1)</f>
        <v/>
      </c>
      <c r="K48" s="11">
        <f>INT(($B48-Модель!$B$28)/7)+1</f>
        <v/>
      </c>
      <c r="L48" s="11">
        <f>IF(COUNTIF($B$2:$B48,$B48)=1,1,0)</f>
        <v/>
      </c>
    </row>
    <row r="49">
      <c r="A49" s="11" t="n">
        <v>48</v>
      </c>
      <c r="B49" s="12" t="n">
        <v>46269</v>
      </c>
      <c r="C49" s="9" t="inlineStr">
        <is>
          <t>E10</t>
        </is>
      </c>
      <c r="D49" s="13">
        <f>IFERROR(INDEX(Упражнения!$B$2:$B$13,MATCH($C49,Упражнения!$A$2:$A$13,0)),"нет такого упражнения")</f>
        <v/>
      </c>
      <c r="E49" s="13">
        <f>IFERROR(INDEX(Упражнения!$C$2:$C$13,MATCH($C49,Упражнения!$A$2:$A$13,0)),"")</f>
        <v/>
      </c>
      <c r="F49" s="9" t="n">
        <v>37.5</v>
      </c>
      <c r="G49" s="9" t="n">
        <v>3</v>
      </c>
      <c r="H49" s="9" t="n">
        <v>12</v>
      </c>
      <c r="I49" s="11">
        <f>($F49+IF(INDEX(Упражнения!$F$2:$F$13,MATCH($C49,Упражнения!$A$2:$A$13,0))="да",Модель!$B$24,0))*$G49*$H49</f>
        <v/>
      </c>
      <c r="J49" s="11">
        <f>ROUND(($F49+IF(INDEX(Упражнения!$F$2:$F$13,MATCH($C49,Упражнения!$A$2:$A$13,0))="да",Модель!$B$24,0))*(1+$H49/30),1)</f>
        <v/>
      </c>
      <c r="K49" s="11">
        <f>INT(($B49-Модель!$B$28)/7)+1</f>
        <v/>
      </c>
      <c r="L49" s="11">
        <f>IF(COUNTIF($B$2:$B49,$B49)=1,1,0)</f>
        <v/>
      </c>
    </row>
    <row r="50">
      <c r="A50" s="11" t="n">
        <v>49</v>
      </c>
      <c r="B50" s="12" t="n">
        <v>46272</v>
      </c>
      <c r="C50" s="9" t="inlineStr">
        <is>
          <t>E01</t>
        </is>
      </c>
      <c r="D50" s="13">
        <f>IFERROR(INDEX(Упражнения!$B$2:$B$13,MATCH($C50,Упражнения!$A$2:$A$13,0)),"нет такого упражнения")</f>
        <v/>
      </c>
      <c r="E50" s="13">
        <f>IFERROR(INDEX(Упражнения!$C$2:$C$13,MATCH($C50,Упражнения!$A$2:$A$13,0)),"")</f>
        <v/>
      </c>
      <c r="F50" s="9" t="n">
        <v>80</v>
      </c>
      <c r="G50" s="9" t="n">
        <v>5</v>
      </c>
      <c r="H50" s="9" t="n">
        <v>5</v>
      </c>
      <c r="I50" s="11">
        <f>($F50+IF(INDEX(Упражнения!$F$2:$F$13,MATCH($C50,Упражнения!$A$2:$A$13,0))="да",Модель!$B$24,0))*$G50*$H50</f>
        <v/>
      </c>
      <c r="J50" s="11">
        <f>ROUND(($F50+IF(INDEX(Упражнения!$F$2:$F$13,MATCH($C50,Упражнения!$A$2:$A$13,0))="да",Модель!$B$24,0))*(1+$H50/30),1)</f>
        <v/>
      </c>
      <c r="K50" s="11">
        <f>INT(($B50-Модель!$B$28)/7)+1</f>
        <v/>
      </c>
      <c r="L50" s="11">
        <f>IF(COUNTIF($B$2:$B50,$B50)=1,1,0)</f>
        <v/>
      </c>
    </row>
    <row r="51">
      <c r="A51" s="11" t="n">
        <v>50</v>
      </c>
      <c r="B51" s="12" t="n">
        <v>46272</v>
      </c>
      <c r="C51" s="9" t="inlineStr">
        <is>
          <t>E02</t>
        </is>
      </c>
      <c r="D51" s="13">
        <f>IFERROR(INDEX(Упражнения!$B$2:$B$13,MATCH($C51,Упражнения!$A$2:$A$13,0)),"нет такого упражнения")</f>
        <v/>
      </c>
      <c r="E51" s="13">
        <f>IFERROR(INDEX(Упражнения!$C$2:$C$13,MATCH($C51,Упражнения!$A$2:$A$13,0)),"")</f>
        <v/>
      </c>
      <c r="F51" s="9" t="n">
        <v>55</v>
      </c>
      <c r="G51" s="9" t="n">
        <v>5</v>
      </c>
      <c r="H51" s="9" t="n">
        <v>5</v>
      </c>
      <c r="I51" s="11">
        <f>($F51+IF(INDEX(Упражнения!$F$2:$F$13,MATCH($C51,Упражнения!$A$2:$A$13,0))="да",Модель!$B$24,0))*$G51*$H51</f>
        <v/>
      </c>
      <c r="J51" s="11">
        <f>ROUND(($F51+IF(INDEX(Упражнения!$F$2:$F$13,MATCH($C51,Упражнения!$A$2:$A$13,0))="да",Модель!$B$24,0))*(1+$H51/30),1)</f>
        <v/>
      </c>
      <c r="K51" s="11">
        <f>INT(($B51-Модель!$B$28)/7)+1</f>
        <v/>
      </c>
      <c r="L51" s="11">
        <f>IF(COUNTIF($B$2:$B51,$B51)=1,1,0)</f>
        <v/>
      </c>
    </row>
    <row r="52">
      <c r="A52" s="11" t="n">
        <v>51</v>
      </c>
      <c r="B52" s="12" t="n">
        <v>46272</v>
      </c>
      <c r="C52" s="9" t="inlineStr">
        <is>
          <t>E08</t>
        </is>
      </c>
      <c r="D52" s="13">
        <f>IFERROR(INDEX(Упражнения!$B$2:$B$13,MATCH($C52,Упражнения!$A$2:$A$13,0)),"нет такого упражнения")</f>
        <v/>
      </c>
      <c r="E52" s="13">
        <f>IFERROR(INDEX(Упражнения!$C$2:$C$13,MATCH($C52,Упражнения!$A$2:$A$13,0)),"")</f>
        <v/>
      </c>
      <c r="F52" s="9" t="n">
        <v>30</v>
      </c>
      <c r="G52" s="9" t="n">
        <v>3</v>
      </c>
      <c r="H52" s="9" t="n">
        <v>10</v>
      </c>
      <c r="I52" s="11">
        <f>($F52+IF(INDEX(Упражнения!$F$2:$F$13,MATCH($C52,Упражнения!$A$2:$A$13,0))="да",Модель!$B$24,0))*$G52*$H52</f>
        <v/>
      </c>
      <c r="J52" s="11">
        <f>ROUND(($F52+IF(INDEX(Упражнения!$F$2:$F$13,MATCH($C52,Упражнения!$A$2:$A$13,0))="да",Модель!$B$24,0))*(1+$H52/30),1)</f>
        <v/>
      </c>
      <c r="K52" s="11">
        <f>INT(($B52-Модель!$B$28)/7)+1</f>
        <v/>
      </c>
      <c r="L52" s="11">
        <f>IF(COUNTIF($B$2:$B52,$B52)=1,1,0)</f>
        <v/>
      </c>
    </row>
    <row r="53">
      <c r="A53" s="11" t="n">
        <v>52</v>
      </c>
      <c r="B53" s="12" t="n">
        <v>46272</v>
      </c>
      <c r="C53" s="9" t="inlineStr">
        <is>
          <t>E12</t>
        </is>
      </c>
      <c r="D53" s="13">
        <f>IFERROR(INDEX(Упражнения!$B$2:$B$13,MATCH($C53,Упражнения!$A$2:$A$13,0)),"нет такого упражнения")</f>
        <v/>
      </c>
      <c r="E53" s="13">
        <f>IFERROR(INDEX(Упражнения!$C$2:$C$13,MATCH($C53,Упражнения!$A$2:$A$13,0)),"")</f>
        <v/>
      </c>
      <c r="F53" s="9" t="n">
        <v>0</v>
      </c>
      <c r="G53" s="9" t="n">
        <v>3</v>
      </c>
      <c r="H53" s="9" t="n">
        <v>20</v>
      </c>
      <c r="I53" s="11">
        <f>($F53+IF(INDEX(Упражнения!$F$2:$F$13,MATCH($C53,Упражнения!$A$2:$A$13,0))="да",Модель!$B$24,0))*$G53*$H53</f>
        <v/>
      </c>
      <c r="J53" s="11">
        <f>ROUND(($F53+IF(INDEX(Упражнения!$F$2:$F$13,MATCH($C53,Упражнения!$A$2:$A$13,0))="да",Модель!$B$24,0))*(1+$H53/30),1)</f>
        <v/>
      </c>
      <c r="K53" s="11">
        <f>INT(($B53-Модель!$B$28)/7)+1</f>
        <v/>
      </c>
      <c r="L53" s="11">
        <f>IF(COUNTIF($B$2:$B53,$B53)=1,1,0)</f>
        <v/>
      </c>
    </row>
    <row r="54">
      <c r="A54" s="11" t="n">
        <v>53</v>
      </c>
      <c r="B54" s="12" t="n">
        <v>46274</v>
      </c>
      <c r="C54" s="9" t="inlineStr">
        <is>
          <t>E03</t>
        </is>
      </c>
      <c r="D54" s="13">
        <f>IFERROR(INDEX(Упражнения!$B$2:$B$13,MATCH($C54,Упражнения!$A$2:$A$13,0)),"нет такого упражнения")</f>
        <v/>
      </c>
      <c r="E54" s="13">
        <f>IFERROR(INDEX(Упражнения!$C$2:$C$13,MATCH($C54,Упражнения!$A$2:$A$13,0)),"")</f>
        <v/>
      </c>
      <c r="F54" s="9" t="n">
        <v>90</v>
      </c>
      <c r="G54" s="9" t="n">
        <v>5</v>
      </c>
      <c r="H54" s="9" t="n">
        <v>5</v>
      </c>
      <c r="I54" s="11">
        <f>($F54+IF(INDEX(Упражнения!$F$2:$F$13,MATCH($C54,Упражнения!$A$2:$A$13,0))="да",Модель!$B$24,0))*$G54*$H54</f>
        <v/>
      </c>
      <c r="J54" s="11">
        <f>ROUND(($F54+IF(INDEX(Упражнения!$F$2:$F$13,MATCH($C54,Упражнения!$A$2:$A$13,0))="да",Модель!$B$24,0))*(1+$H54/30),1)</f>
        <v/>
      </c>
      <c r="K54" s="11">
        <f>INT(($B54-Модель!$B$28)/7)+1</f>
        <v/>
      </c>
      <c r="L54" s="11">
        <f>IF(COUNTIF($B$2:$B54,$B54)=1,1,0)</f>
        <v/>
      </c>
    </row>
    <row r="55">
      <c r="A55" s="11" t="n">
        <v>54</v>
      </c>
      <c r="B55" s="12" t="n">
        <v>46274</v>
      </c>
      <c r="C55" s="9" t="inlineStr">
        <is>
          <t>E04</t>
        </is>
      </c>
      <c r="D55" s="13">
        <f>IFERROR(INDEX(Упражнения!$B$2:$B$13,MATCH($C55,Упражнения!$A$2:$A$13,0)),"нет такого упражнения")</f>
        <v/>
      </c>
      <c r="E55" s="13">
        <f>IFERROR(INDEX(Упражнения!$C$2:$C$13,MATCH($C55,Упражнения!$A$2:$A$13,0)),"")</f>
        <v/>
      </c>
      <c r="F55" s="9" t="n">
        <v>50</v>
      </c>
      <c r="G55" s="9" t="n">
        <v>4</v>
      </c>
      <c r="H55" s="9" t="n">
        <v>8</v>
      </c>
      <c r="I55" s="11">
        <f>($F55+IF(INDEX(Упражнения!$F$2:$F$13,MATCH($C55,Упражнения!$A$2:$A$13,0))="да",Модель!$B$24,0))*$G55*$H55</f>
        <v/>
      </c>
      <c r="J55" s="11">
        <f>ROUND(($F55+IF(INDEX(Упражнения!$F$2:$F$13,MATCH($C55,Упражнения!$A$2:$A$13,0))="да",Модель!$B$24,0))*(1+$H55/30),1)</f>
        <v/>
      </c>
      <c r="K55" s="11">
        <f>INT(($B55-Модель!$B$28)/7)+1</f>
        <v/>
      </c>
      <c r="L55" s="11">
        <f>IF(COUNTIF($B$2:$B55,$B55)=1,1,0)</f>
        <v/>
      </c>
    </row>
    <row r="56">
      <c r="A56" s="11" t="n">
        <v>55</v>
      </c>
      <c r="B56" s="12" t="n">
        <v>46274</v>
      </c>
      <c r="C56" s="9" t="inlineStr">
        <is>
          <t>E06</t>
        </is>
      </c>
      <c r="D56" s="13">
        <f>IFERROR(INDEX(Упражнения!$B$2:$B$13,MATCH($C56,Упражнения!$A$2:$A$13,0)),"нет такого упражнения")</f>
        <v/>
      </c>
      <c r="E56" s="13">
        <f>IFERROR(INDEX(Упражнения!$C$2:$C$13,MATCH($C56,Упражнения!$A$2:$A$13,0)),"")</f>
        <v/>
      </c>
      <c r="F56" s="9" t="n">
        <v>0</v>
      </c>
      <c r="G56" s="9" t="n">
        <v>4</v>
      </c>
      <c r="H56" s="9" t="n">
        <v>10</v>
      </c>
      <c r="I56" s="11">
        <f>($F56+IF(INDEX(Упражнения!$F$2:$F$13,MATCH($C56,Упражнения!$A$2:$A$13,0))="да",Модель!$B$24,0))*$G56*$H56</f>
        <v/>
      </c>
      <c r="J56" s="11">
        <f>ROUND(($F56+IF(INDEX(Упражнения!$F$2:$F$13,MATCH($C56,Упражнения!$A$2:$A$13,0))="да",Модель!$B$24,0))*(1+$H56/30),1)</f>
        <v/>
      </c>
      <c r="K56" s="11">
        <f>INT(($B56-Модель!$B$28)/7)+1</f>
        <v/>
      </c>
      <c r="L56" s="11">
        <f>IF(COUNTIF($B$2:$B56,$B56)=1,1,0)</f>
        <v/>
      </c>
    </row>
    <row r="57">
      <c r="A57" s="11" t="n">
        <v>56</v>
      </c>
      <c r="B57" s="12" t="n">
        <v>46274</v>
      </c>
      <c r="C57" s="9" t="inlineStr">
        <is>
          <t>E09</t>
        </is>
      </c>
      <c r="D57" s="13">
        <f>IFERROR(INDEX(Упражнения!$B$2:$B$13,MATCH($C57,Упражнения!$A$2:$A$13,0)),"нет такого упражнения")</f>
        <v/>
      </c>
      <c r="E57" s="13">
        <f>IFERROR(INDEX(Упражнения!$C$2:$C$13,MATCH($C57,Упражнения!$A$2:$A$13,0)),"")</f>
        <v/>
      </c>
      <c r="F57" s="9" t="n">
        <v>27.5</v>
      </c>
      <c r="G57" s="9" t="n">
        <v>3</v>
      </c>
      <c r="H57" s="9" t="n">
        <v>10</v>
      </c>
      <c r="I57" s="11">
        <f>($F57+IF(INDEX(Упражнения!$F$2:$F$13,MATCH($C57,Упражнения!$A$2:$A$13,0))="да",Модель!$B$24,0))*$G57*$H57</f>
        <v/>
      </c>
      <c r="J57" s="11">
        <f>ROUND(($F57+IF(INDEX(Упражнения!$F$2:$F$13,MATCH($C57,Упражнения!$A$2:$A$13,0))="да",Модель!$B$24,0))*(1+$H57/30),1)</f>
        <v/>
      </c>
      <c r="K57" s="11">
        <f>INT(($B57-Модель!$B$28)/7)+1</f>
        <v/>
      </c>
      <c r="L57" s="11">
        <f>IF(COUNTIF($B$2:$B57,$B57)=1,1,0)</f>
        <v/>
      </c>
    </row>
    <row r="58">
      <c r="A58" s="11" t="n">
        <v>57</v>
      </c>
      <c r="B58" s="12" t="n">
        <v>46276</v>
      </c>
      <c r="C58" s="9" t="inlineStr">
        <is>
          <t>E11</t>
        </is>
      </c>
      <c r="D58" s="13">
        <f>IFERROR(INDEX(Упражнения!$B$2:$B$13,MATCH($C58,Упражнения!$A$2:$A$13,0)),"нет такого упражнения")</f>
        <v/>
      </c>
      <c r="E58" s="13">
        <f>IFERROR(INDEX(Упражнения!$C$2:$C$13,MATCH($C58,Упражнения!$A$2:$A$13,0)),"")</f>
        <v/>
      </c>
      <c r="F58" s="9" t="n">
        <v>160</v>
      </c>
      <c r="G58" s="9" t="n">
        <v>4</v>
      </c>
      <c r="H58" s="9" t="n">
        <v>10</v>
      </c>
      <c r="I58" s="11">
        <f>($F58+IF(INDEX(Упражнения!$F$2:$F$13,MATCH($C58,Упражнения!$A$2:$A$13,0))="да",Модель!$B$24,0))*$G58*$H58</f>
        <v/>
      </c>
      <c r="J58" s="11">
        <f>ROUND(($F58+IF(INDEX(Упражнения!$F$2:$F$13,MATCH($C58,Упражнения!$A$2:$A$13,0))="да",Модель!$B$24,0))*(1+$H58/30),1)</f>
        <v/>
      </c>
      <c r="K58" s="11">
        <f>INT(($B58-Модель!$B$28)/7)+1</f>
        <v/>
      </c>
      <c r="L58" s="11">
        <f>IF(COUNTIF($B$2:$B58,$B58)=1,1,0)</f>
        <v/>
      </c>
    </row>
    <row r="59">
      <c r="A59" s="11" t="n">
        <v>58</v>
      </c>
      <c r="B59" s="12" t="n">
        <v>46276</v>
      </c>
      <c r="C59" s="9" t="inlineStr">
        <is>
          <t>E05</t>
        </is>
      </c>
      <c r="D59" s="13">
        <f>IFERROR(INDEX(Упражнения!$B$2:$B$13,MATCH($C59,Упражнения!$A$2:$A$13,0)),"нет такого упражнения")</f>
        <v/>
      </c>
      <c r="E59" s="13">
        <f>IFERROR(INDEX(Упражнения!$C$2:$C$13,MATCH($C59,Упражнения!$A$2:$A$13,0)),"")</f>
        <v/>
      </c>
      <c r="F59" s="9" t="n">
        <v>40</v>
      </c>
      <c r="G59" s="9" t="n">
        <v>4</v>
      </c>
      <c r="H59" s="9" t="n">
        <v>10</v>
      </c>
      <c r="I59" s="11">
        <f>($F59+IF(INDEX(Упражнения!$F$2:$F$13,MATCH($C59,Упражнения!$A$2:$A$13,0))="да",Модель!$B$24,0))*$G59*$H59</f>
        <v/>
      </c>
      <c r="J59" s="11">
        <f>ROUND(($F59+IF(INDEX(Упражнения!$F$2:$F$13,MATCH($C59,Упражнения!$A$2:$A$13,0))="да",Модель!$B$24,0))*(1+$H59/30),1)</f>
        <v/>
      </c>
      <c r="K59" s="11">
        <f>INT(($B59-Модель!$B$28)/7)+1</f>
        <v/>
      </c>
      <c r="L59" s="11">
        <f>IF(COUNTIF($B$2:$B59,$B59)=1,1,0)</f>
        <v/>
      </c>
    </row>
    <row r="60">
      <c r="A60" s="11" t="n">
        <v>59</v>
      </c>
      <c r="B60" s="12" t="n">
        <v>46276</v>
      </c>
      <c r="C60" s="9" t="inlineStr">
        <is>
          <t>E07</t>
        </is>
      </c>
      <c r="D60" s="13">
        <f>IFERROR(INDEX(Упражнения!$B$2:$B$13,MATCH($C60,Упражнения!$A$2:$A$13,0)),"нет такого упражнения")</f>
        <v/>
      </c>
      <c r="E60" s="13">
        <f>IFERROR(INDEX(Упражнения!$C$2:$C$13,MATCH($C60,Упражнения!$A$2:$A$13,0)),"")</f>
        <v/>
      </c>
      <c r="F60" s="9" t="n">
        <v>0</v>
      </c>
      <c r="G60" s="9" t="n">
        <v>3</v>
      </c>
      <c r="H60" s="9" t="n">
        <v>12</v>
      </c>
      <c r="I60" s="11">
        <f>($F60+IF(INDEX(Упражнения!$F$2:$F$13,MATCH($C60,Упражнения!$A$2:$A$13,0))="да",Модель!$B$24,0))*$G60*$H60</f>
        <v/>
      </c>
      <c r="J60" s="11">
        <f>ROUND(($F60+IF(INDEX(Упражнения!$F$2:$F$13,MATCH($C60,Упражнения!$A$2:$A$13,0))="да",Модель!$B$24,0))*(1+$H60/30),1)</f>
        <v/>
      </c>
      <c r="K60" s="11">
        <f>INT(($B60-Модель!$B$28)/7)+1</f>
        <v/>
      </c>
      <c r="L60" s="11">
        <f>IF(COUNTIF($B$2:$B60,$B60)=1,1,0)</f>
        <v/>
      </c>
    </row>
    <row r="61">
      <c r="A61" s="11" t="n">
        <v>60</v>
      </c>
      <c r="B61" s="12" t="n">
        <v>46276</v>
      </c>
      <c r="C61" s="9" t="inlineStr">
        <is>
          <t>E10</t>
        </is>
      </c>
      <c r="D61" s="13">
        <f>IFERROR(INDEX(Упражнения!$B$2:$B$13,MATCH($C61,Упражнения!$A$2:$A$13,0)),"нет такого упражнения")</f>
        <v/>
      </c>
      <c r="E61" s="13">
        <f>IFERROR(INDEX(Упражнения!$C$2:$C$13,MATCH($C61,Упражнения!$A$2:$A$13,0)),"")</f>
        <v/>
      </c>
      <c r="F61" s="9" t="n">
        <v>40</v>
      </c>
      <c r="G61" s="9" t="n">
        <v>3</v>
      </c>
      <c r="H61" s="9" t="n">
        <v>12</v>
      </c>
      <c r="I61" s="11">
        <f>($F61+IF(INDEX(Упражнения!$F$2:$F$13,MATCH($C61,Упражнения!$A$2:$A$13,0))="да",Модель!$B$24,0))*$G61*$H61</f>
        <v/>
      </c>
      <c r="J61" s="11">
        <f>ROUND(($F61+IF(INDEX(Упражнения!$F$2:$F$13,MATCH($C61,Упражнения!$A$2:$A$13,0))="да",Модель!$B$24,0))*(1+$H61/30),1)</f>
        <v/>
      </c>
      <c r="K61" s="11">
        <f>INT(($B61-Модель!$B$28)/7)+1</f>
        <v/>
      </c>
      <c r="L61" s="11">
        <f>IF(COUNTIF($B$2:$B61,$B61)=1,1,0)</f>
        <v/>
      </c>
    </row>
    <row r="62">
      <c r="A62" s="11" t="n">
        <v>61</v>
      </c>
      <c r="B62" s="12" t="n">
        <v>46279</v>
      </c>
      <c r="C62" s="9" t="inlineStr">
        <is>
          <t>E01</t>
        </is>
      </c>
      <c r="D62" s="13">
        <f>IFERROR(INDEX(Упражнения!$B$2:$B$13,MATCH($C62,Упражнения!$A$2:$A$13,0)),"нет такого упражнения")</f>
        <v/>
      </c>
      <c r="E62" s="13">
        <f>IFERROR(INDEX(Упражнения!$C$2:$C$13,MATCH($C62,Упражнения!$A$2:$A$13,0)),"")</f>
        <v/>
      </c>
      <c r="F62" s="9" t="n">
        <v>85</v>
      </c>
      <c r="G62" s="9" t="n">
        <v>5</v>
      </c>
      <c r="H62" s="9" t="n">
        <v>5</v>
      </c>
      <c r="I62" s="11">
        <f>($F62+IF(INDEX(Упражнения!$F$2:$F$13,MATCH($C62,Упражнения!$A$2:$A$13,0))="да",Модель!$B$24,0))*$G62*$H62</f>
        <v/>
      </c>
      <c r="J62" s="11">
        <f>ROUND(($F62+IF(INDEX(Упражнения!$F$2:$F$13,MATCH($C62,Упражнения!$A$2:$A$13,0))="да",Модель!$B$24,0))*(1+$H62/30),1)</f>
        <v/>
      </c>
      <c r="K62" s="11">
        <f>INT(($B62-Модель!$B$28)/7)+1</f>
        <v/>
      </c>
      <c r="L62" s="11">
        <f>IF(COUNTIF($B$2:$B62,$B62)=1,1,0)</f>
        <v/>
      </c>
    </row>
    <row r="63">
      <c r="A63" s="11" t="n">
        <v>62</v>
      </c>
      <c r="B63" s="12" t="n">
        <v>46279</v>
      </c>
      <c r="C63" s="9" t="inlineStr">
        <is>
          <t>E02</t>
        </is>
      </c>
      <c r="D63" s="13">
        <f>IFERROR(INDEX(Упражнения!$B$2:$B$13,MATCH($C63,Упражнения!$A$2:$A$13,0)),"нет такого упражнения")</f>
        <v/>
      </c>
      <c r="E63" s="13">
        <f>IFERROR(INDEX(Упражнения!$C$2:$C$13,MATCH($C63,Упражнения!$A$2:$A$13,0)),"")</f>
        <v/>
      </c>
      <c r="F63" s="9" t="n">
        <v>57.5</v>
      </c>
      <c r="G63" s="9" t="n">
        <v>5</v>
      </c>
      <c r="H63" s="9" t="n">
        <v>5</v>
      </c>
      <c r="I63" s="11">
        <f>($F63+IF(INDEX(Упражнения!$F$2:$F$13,MATCH($C63,Упражнения!$A$2:$A$13,0))="да",Модель!$B$24,0))*$G63*$H63</f>
        <v/>
      </c>
      <c r="J63" s="11">
        <f>ROUND(($F63+IF(INDEX(Упражнения!$F$2:$F$13,MATCH($C63,Упражнения!$A$2:$A$13,0))="да",Модель!$B$24,0))*(1+$H63/30),1)</f>
        <v/>
      </c>
      <c r="K63" s="11">
        <f>INT(($B63-Модель!$B$28)/7)+1</f>
        <v/>
      </c>
      <c r="L63" s="11">
        <f>IF(COUNTIF($B$2:$B63,$B63)=1,1,0)</f>
        <v/>
      </c>
    </row>
    <row r="64">
      <c r="A64" s="11" t="n">
        <v>63</v>
      </c>
      <c r="B64" s="12" t="n">
        <v>46279</v>
      </c>
      <c r="C64" s="9" t="inlineStr">
        <is>
          <t>E08</t>
        </is>
      </c>
      <c r="D64" s="13">
        <f>IFERROR(INDEX(Упражнения!$B$2:$B$13,MATCH($C64,Упражнения!$A$2:$A$13,0)),"нет такого упражнения")</f>
        <v/>
      </c>
      <c r="E64" s="13">
        <f>IFERROR(INDEX(Упражнения!$C$2:$C$13,MATCH($C64,Упражнения!$A$2:$A$13,0)),"")</f>
        <v/>
      </c>
      <c r="F64" s="9" t="n">
        <v>31.2</v>
      </c>
      <c r="G64" s="9" t="n">
        <v>3</v>
      </c>
      <c r="H64" s="9" t="n">
        <v>10</v>
      </c>
      <c r="I64" s="11">
        <f>($F64+IF(INDEX(Упражнения!$F$2:$F$13,MATCH($C64,Упражнения!$A$2:$A$13,0))="да",Модель!$B$24,0))*$G64*$H64</f>
        <v/>
      </c>
      <c r="J64" s="11">
        <f>ROUND(($F64+IF(INDEX(Упражнения!$F$2:$F$13,MATCH($C64,Упражнения!$A$2:$A$13,0))="да",Модель!$B$24,0))*(1+$H64/30),1)</f>
        <v/>
      </c>
      <c r="K64" s="11">
        <f>INT(($B64-Модель!$B$28)/7)+1</f>
        <v/>
      </c>
      <c r="L64" s="11">
        <f>IF(COUNTIF($B$2:$B64,$B64)=1,1,0)</f>
        <v/>
      </c>
    </row>
    <row r="65">
      <c r="A65" s="11" t="n">
        <v>64</v>
      </c>
      <c r="B65" s="12" t="n">
        <v>46279</v>
      </c>
      <c r="C65" s="9" t="inlineStr">
        <is>
          <t>E12</t>
        </is>
      </c>
      <c r="D65" s="13">
        <f>IFERROR(INDEX(Упражнения!$B$2:$B$13,MATCH($C65,Упражнения!$A$2:$A$13,0)),"нет такого упражнения")</f>
        <v/>
      </c>
      <c r="E65" s="13">
        <f>IFERROR(INDEX(Упражнения!$C$2:$C$13,MATCH($C65,Упражнения!$A$2:$A$13,0)),"")</f>
        <v/>
      </c>
      <c r="F65" s="9" t="n">
        <v>0</v>
      </c>
      <c r="G65" s="9" t="n">
        <v>3</v>
      </c>
      <c r="H65" s="9" t="n">
        <v>20</v>
      </c>
      <c r="I65" s="11">
        <f>($F65+IF(INDEX(Упражнения!$F$2:$F$13,MATCH($C65,Упражнения!$A$2:$A$13,0))="да",Модель!$B$24,0))*$G65*$H65</f>
        <v/>
      </c>
      <c r="J65" s="11">
        <f>ROUND(($F65+IF(INDEX(Упражнения!$F$2:$F$13,MATCH($C65,Упражнения!$A$2:$A$13,0))="да",Модель!$B$24,0))*(1+$H65/30),1)</f>
        <v/>
      </c>
      <c r="K65" s="11">
        <f>INT(($B65-Модель!$B$28)/7)+1</f>
        <v/>
      </c>
      <c r="L65" s="11">
        <f>IF(COUNTIF($B$2:$B65,$B65)=1,1,0)</f>
        <v/>
      </c>
    </row>
    <row r="66">
      <c r="A66" s="11" t="n">
        <v>65</v>
      </c>
      <c r="B66" s="12" t="n">
        <v>46281</v>
      </c>
      <c r="C66" s="9" t="inlineStr">
        <is>
          <t>E03</t>
        </is>
      </c>
      <c r="D66" s="13">
        <f>IFERROR(INDEX(Упражнения!$B$2:$B$13,MATCH($C66,Упражнения!$A$2:$A$13,0)),"нет такого упражнения")</f>
        <v/>
      </c>
      <c r="E66" s="13">
        <f>IFERROR(INDEX(Упражнения!$C$2:$C$13,MATCH($C66,Упражнения!$A$2:$A$13,0)),"")</f>
        <v/>
      </c>
      <c r="F66" s="9" t="n">
        <v>95</v>
      </c>
      <c r="G66" s="9" t="n">
        <v>5</v>
      </c>
      <c r="H66" s="9" t="n">
        <v>5</v>
      </c>
      <c r="I66" s="11">
        <f>($F66+IF(INDEX(Упражнения!$F$2:$F$13,MATCH($C66,Упражнения!$A$2:$A$13,0))="да",Модель!$B$24,0))*$G66*$H66</f>
        <v/>
      </c>
      <c r="J66" s="11">
        <f>ROUND(($F66+IF(INDEX(Упражнения!$F$2:$F$13,MATCH($C66,Упражнения!$A$2:$A$13,0))="да",Модель!$B$24,0))*(1+$H66/30),1)</f>
        <v/>
      </c>
      <c r="K66" s="11">
        <f>INT(($B66-Модель!$B$28)/7)+1</f>
        <v/>
      </c>
      <c r="L66" s="11">
        <f>IF(COUNTIF($B$2:$B66,$B66)=1,1,0)</f>
        <v/>
      </c>
    </row>
    <row r="67">
      <c r="A67" s="11" t="n">
        <v>66</v>
      </c>
      <c r="B67" s="12" t="n">
        <v>46281</v>
      </c>
      <c r="C67" s="9" t="inlineStr">
        <is>
          <t>E04</t>
        </is>
      </c>
      <c r="D67" s="13">
        <f>IFERROR(INDEX(Упражнения!$B$2:$B$13,MATCH($C67,Упражнения!$A$2:$A$13,0)),"нет такого упражнения")</f>
        <v/>
      </c>
      <c r="E67" s="13">
        <f>IFERROR(INDEX(Упражнения!$C$2:$C$13,MATCH($C67,Упражнения!$A$2:$A$13,0)),"")</f>
        <v/>
      </c>
      <c r="F67" s="9" t="n">
        <v>52.5</v>
      </c>
      <c r="G67" s="9" t="n">
        <v>4</v>
      </c>
      <c r="H67" s="9" t="n">
        <v>8</v>
      </c>
      <c r="I67" s="11">
        <f>($F67+IF(INDEX(Упражнения!$F$2:$F$13,MATCH($C67,Упражнения!$A$2:$A$13,0))="да",Модель!$B$24,0))*$G67*$H67</f>
        <v/>
      </c>
      <c r="J67" s="11">
        <f>ROUND(($F67+IF(INDEX(Упражнения!$F$2:$F$13,MATCH($C67,Упражнения!$A$2:$A$13,0))="да",Модель!$B$24,0))*(1+$H67/30),1)</f>
        <v/>
      </c>
      <c r="K67" s="11">
        <f>INT(($B67-Модель!$B$28)/7)+1</f>
        <v/>
      </c>
      <c r="L67" s="11">
        <f>IF(COUNTIF($B$2:$B67,$B67)=1,1,0)</f>
        <v/>
      </c>
    </row>
    <row r="68">
      <c r="A68" s="11" t="n">
        <v>67</v>
      </c>
      <c r="B68" s="12" t="n">
        <v>46281</v>
      </c>
      <c r="C68" s="9" t="inlineStr">
        <is>
          <t>E06</t>
        </is>
      </c>
      <c r="D68" s="13">
        <f>IFERROR(INDEX(Упражнения!$B$2:$B$13,MATCH($C68,Упражнения!$A$2:$A$13,0)),"нет такого упражнения")</f>
        <v/>
      </c>
      <c r="E68" s="13">
        <f>IFERROR(INDEX(Упражнения!$C$2:$C$13,MATCH($C68,Упражнения!$A$2:$A$13,0)),"")</f>
        <v/>
      </c>
      <c r="F68" s="9" t="n">
        <v>0</v>
      </c>
      <c r="G68" s="9" t="n">
        <v>4</v>
      </c>
      <c r="H68" s="9" t="n">
        <v>10</v>
      </c>
      <c r="I68" s="11">
        <f>($F68+IF(INDEX(Упражнения!$F$2:$F$13,MATCH($C68,Упражнения!$A$2:$A$13,0))="да",Модель!$B$24,0))*$G68*$H68</f>
        <v/>
      </c>
      <c r="J68" s="11">
        <f>ROUND(($F68+IF(INDEX(Упражнения!$F$2:$F$13,MATCH($C68,Упражнения!$A$2:$A$13,0))="да",Модель!$B$24,0))*(1+$H68/30),1)</f>
        <v/>
      </c>
      <c r="K68" s="11">
        <f>INT(($B68-Модель!$B$28)/7)+1</f>
        <v/>
      </c>
      <c r="L68" s="11">
        <f>IF(COUNTIF($B$2:$B68,$B68)=1,1,0)</f>
        <v/>
      </c>
    </row>
    <row r="69">
      <c r="A69" s="11" t="n">
        <v>68</v>
      </c>
      <c r="B69" s="12" t="n">
        <v>46281</v>
      </c>
      <c r="C69" s="9" t="inlineStr">
        <is>
          <t>E09</t>
        </is>
      </c>
      <c r="D69" s="13">
        <f>IFERROR(INDEX(Упражнения!$B$2:$B$13,MATCH($C69,Упражнения!$A$2:$A$13,0)),"нет такого упражнения")</f>
        <v/>
      </c>
      <c r="E69" s="13">
        <f>IFERROR(INDEX(Упражнения!$C$2:$C$13,MATCH($C69,Упражнения!$A$2:$A$13,0)),"")</f>
        <v/>
      </c>
      <c r="F69" s="9" t="n">
        <v>28.8</v>
      </c>
      <c r="G69" s="9" t="n">
        <v>3</v>
      </c>
      <c r="H69" s="9" t="n">
        <v>10</v>
      </c>
      <c r="I69" s="11">
        <f>($F69+IF(INDEX(Упражнения!$F$2:$F$13,MATCH($C69,Упражнения!$A$2:$A$13,0))="да",Модель!$B$24,0))*$G69*$H69</f>
        <v/>
      </c>
      <c r="J69" s="11">
        <f>ROUND(($F69+IF(INDEX(Упражнения!$F$2:$F$13,MATCH($C69,Упражнения!$A$2:$A$13,0))="да",Модель!$B$24,0))*(1+$H69/30),1)</f>
        <v/>
      </c>
      <c r="K69" s="11">
        <f>INT(($B69-Модель!$B$28)/7)+1</f>
        <v/>
      </c>
      <c r="L69" s="11">
        <f>IF(COUNTIF($B$2:$B69,$B69)=1,1,0)</f>
        <v/>
      </c>
    </row>
    <row r="70">
      <c r="A70" s="11" t="n">
        <v>69</v>
      </c>
      <c r="B70" s="12" t="n">
        <v>46283</v>
      </c>
      <c r="C70" s="9" t="inlineStr">
        <is>
          <t>E11</t>
        </is>
      </c>
      <c r="D70" s="13">
        <f>IFERROR(INDEX(Упражнения!$B$2:$B$13,MATCH($C70,Упражнения!$A$2:$A$13,0)),"нет такого упражнения")</f>
        <v/>
      </c>
      <c r="E70" s="13">
        <f>IFERROR(INDEX(Упражнения!$C$2:$C$13,MATCH($C70,Упражнения!$A$2:$A$13,0)),"")</f>
        <v/>
      </c>
      <c r="F70" s="9" t="n">
        <v>170</v>
      </c>
      <c r="G70" s="9" t="n">
        <v>4</v>
      </c>
      <c r="H70" s="9" t="n">
        <v>10</v>
      </c>
      <c r="I70" s="11">
        <f>($F70+IF(INDEX(Упражнения!$F$2:$F$13,MATCH($C70,Упражнения!$A$2:$A$13,0))="да",Модель!$B$24,0))*$G70*$H70</f>
        <v/>
      </c>
      <c r="J70" s="11">
        <f>ROUND(($F70+IF(INDEX(Упражнения!$F$2:$F$13,MATCH($C70,Упражнения!$A$2:$A$13,0))="да",Модель!$B$24,0))*(1+$H70/30),1)</f>
        <v/>
      </c>
      <c r="K70" s="11">
        <f>INT(($B70-Модель!$B$28)/7)+1</f>
        <v/>
      </c>
      <c r="L70" s="11">
        <f>IF(COUNTIF($B$2:$B70,$B70)=1,1,0)</f>
        <v/>
      </c>
    </row>
    <row r="71">
      <c r="A71" s="11" t="n">
        <v>70</v>
      </c>
      <c r="B71" s="12" t="n">
        <v>46283</v>
      </c>
      <c r="C71" s="9" t="inlineStr">
        <is>
          <t>E05</t>
        </is>
      </c>
      <c r="D71" s="13">
        <f>IFERROR(INDEX(Упражнения!$B$2:$B$13,MATCH($C71,Упражнения!$A$2:$A$13,0)),"нет такого упражнения")</f>
        <v/>
      </c>
      <c r="E71" s="13">
        <f>IFERROR(INDEX(Упражнения!$C$2:$C$13,MATCH($C71,Упражнения!$A$2:$A$13,0)),"")</f>
        <v/>
      </c>
      <c r="F71" s="9" t="n">
        <v>42</v>
      </c>
      <c r="G71" s="9" t="n">
        <v>4</v>
      </c>
      <c r="H71" s="9" t="n">
        <v>10</v>
      </c>
      <c r="I71" s="11">
        <f>($F71+IF(INDEX(Упражнения!$F$2:$F$13,MATCH($C71,Упражнения!$A$2:$A$13,0))="да",Модель!$B$24,0))*$G71*$H71</f>
        <v/>
      </c>
      <c r="J71" s="11">
        <f>ROUND(($F71+IF(INDEX(Упражнения!$F$2:$F$13,MATCH($C71,Упражнения!$A$2:$A$13,0))="да",Модель!$B$24,0))*(1+$H71/30),1)</f>
        <v/>
      </c>
      <c r="K71" s="11">
        <f>INT(($B71-Модель!$B$28)/7)+1</f>
        <v/>
      </c>
      <c r="L71" s="11">
        <f>IF(COUNTIF($B$2:$B71,$B71)=1,1,0)</f>
        <v/>
      </c>
    </row>
    <row r="72">
      <c r="A72" s="11" t="n">
        <v>71</v>
      </c>
      <c r="B72" s="12" t="n">
        <v>46283</v>
      </c>
      <c r="C72" s="9" t="inlineStr">
        <is>
          <t>E07</t>
        </is>
      </c>
      <c r="D72" s="13">
        <f>IFERROR(INDEX(Упражнения!$B$2:$B$13,MATCH($C72,Упражнения!$A$2:$A$13,0)),"нет такого упражнения")</f>
        <v/>
      </c>
      <c r="E72" s="13">
        <f>IFERROR(INDEX(Упражнения!$C$2:$C$13,MATCH($C72,Упражнения!$A$2:$A$13,0)),"")</f>
        <v/>
      </c>
      <c r="F72" s="9" t="n">
        <v>0</v>
      </c>
      <c r="G72" s="9" t="n">
        <v>3</v>
      </c>
      <c r="H72" s="9" t="n">
        <v>12</v>
      </c>
      <c r="I72" s="11">
        <f>($F72+IF(INDEX(Упражнения!$F$2:$F$13,MATCH($C72,Упражнения!$A$2:$A$13,0))="да",Модель!$B$24,0))*$G72*$H72</f>
        <v/>
      </c>
      <c r="J72" s="11">
        <f>ROUND(($F72+IF(INDEX(Упражнения!$F$2:$F$13,MATCH($C72,Упражнения!$A$2:$A$13,0))="да",Модель!$B$24,0))*(1+$H72/30),1)</f>
        <v/>
      </c>
      <c r="K72" s="11">
        <f>INT(($B72-Модель!$B$28)/7)+1</f>
        <v/>
      </c>
      <c r="L72" s="11">
        <f>IF(COUNTIF($B$2:$B72,$B72)=1,1,0)</f>
        <v/>
      </c>
    </row>
    <row r="73">
      <c r="A73" s="11" t="n">
        <v>72</v>
      </c>
      <c r="B73" s="12" t="n">
        <v>46283</v>
      </c>
      <c r="C73" s="9" t="inlineStr">
        <is>
          <t>E10</t>
        </is>
      </c>
      <c r="D73" s="13">
        <f>IFERROR(INDEX(Упражнения!$B$2:$B$13,MATCH($C73,Упражнения!$A$2:$A$13,0)),"нет такого упражнения")</f>
        <v/>
      </c>
      <c r="E73" s="13">
        <f>IFERROR(INDEX(Упражнения!$C$2:$C$13,MATCH($C73,Упражнения!$A$2:$A$13,0)),"")</f>
        <v/>
      </c>
      <c r="F73" s="9" t="n">
        <v>42.5</v>
      </c>
      <c r="G73" s="9" t="n">
        <v>3</v>
      </c>
      <c r="H73" s="9" t="n">
        <v>12</v>
      </c>
      <c r="I73" s="11">
        <f>($F73+IF(INDEX(Упражнения!$F$2:$F$13,MATCH($C73,Упражнения!$A$2:$A$13,0))="да",Модель!$B$24,0))*$G73*$H73</f>
        <v/>
      </c>
      <c r="J73" s="11">
        <f>ROUND(($F73+IF(INDEX(Упражнения!$F$2:$F$13,MATCH($C73,Упражнения!$A$2:$A$13,0))="да",Модель!$B$24,0))*(1+$H73/30),1)</f>
        <v/>
      </c>
      <c r="K73" s="11">
        <f>INT(($B73-Модель!$B$28)/7)+1</f>
        <v/>
      </c>
      <c r="L73" s="11">
        <f>IF(COUNTIF($B$2:$B73,$B73)=1,1,0)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20" customWidth="1" min="3" max="3"/>
    <col width="24" customWidth="1" min="4" max="4"/>
    <col width="14" customWidth="1" min="5" max="5"/>
    <col width="12" customWidth="1" min="6" max="6"/>
    <col width="20" customWidth="1" min="7" max="7"/>
  </cols>
  <sheetData>
    <row r="1">
      <c r="A1" s="14" t="inlineStr">
        <is>
          <t>Результаты моделирования</t>
        </is>
      </c>
    </row>
    <row r="2"/>
    <row r="3">
      <c r="A3" s="4" t="inlineStr">
        <is>
          <t>Общие показатели цикла</t>
        </is>
      </c>
    </row>
    <row r="4">
      <c r="A4" s="5" t="inlineStr">
        <is>
          <t>Тренировок проведено</t>
        </is>
      </c>
      <c r="B4" s="11">
        <f>SUM(Тренировки!$L$2:$L$73)</f>
        <v/>
      </c>
    </row>
    <row r="5">
      <c r="A5" s="5" t="inlineStr">
        <is>
          <t>Записей (упражнений выполнено)</t>
        </is>
      </c>
      <c r="B5" s="11">
        <f>COUNTA(Тренировки!$C$2:$C$73)</f>
        <v/>
      </c>
    </row>
    <row r="6">
      <c r="A6" s="5" t="inlineStr">
        <is>
          <t>Недель в цикле</t>
        </is>
      </c>
      <c r="B6" s="11">
        <f>MAX(Тренировки!$K$2:$K$73)</f>
        <v/>
      </c>
    </row>
    <row r="7">
      <c r="A7" s="5" t="inlineStr">
        <is>
          <t>Общий тоннаж, кг</t>
        </is>
      </c>
      <c r="B7" s="15">
        <f>SUM(Тренировки!$I$2:$I$73)</f>
        <v/>
      </c>
    </row>
    <row r="8">
      <c r="A8" s="5" t="inlineStr">
        <is>
          <t>Средний тоннаж за тренировку, кг</t>
        </is>
      </c>
      <c r="B8" s="15">
        <f>IFERROR(ROUND(SUM(Тренировки!$I$2:$I$73)/SUM(Тренировки!$L$2:$L$73),0),0)</f>
        <v/>
      </c>
    </row>
    <row r="9">
      <c r="A9" s="5" t="inlineStr">
        <is>
          <t>Всего рабочих подходов</t>
        </is>
      </c>
      <c r="B9" s="11">
        <f>SUM(Тренировки!$G$2:$G$73)</f>
        <v/>
      </c>
    </row>
    <row r="10">
      <c r="A10" s="5" t="inlineStr">
        <is>
          <t>Подходов за тренировку (среднее)</t>
        </is>
      </c>
      <c r="B10" s="11">
        <f>IFERROR(ROUND(SUM(Тренировки!$G$2:$G$73)/SUM(Тренировки!$L$2:$L$73),1),0)</f>
        <v/>
      </c>
    </row>
    <row r="11">
      <c r="A11" s="5" t="inlineStr">
        <is>
          <t>Дней с последней тренировки</t>
        </is>
      </c>
      <c r="B11" s="11">
        <f>Модель!$B$29-MAX(Тренировки!$B$2:$B$73)</f>
        <v/>
      </c>
    </row>
    <row r="12"/>
    <row r="13">
      <c r="A13" s="4" t="inlineStr">
        <is>
          <t>Нагрузка по группам мышц</t>
        </is>
      </c>
    </row>
    <row r="14">
      <c r="A14" s="8" t="inlineStr">
        <is>
          <t>Группа мышц</t>
        </is>
      </c>
      <c r="B14" s="8" t="inlineStr">
        <is>
          <t>Подходов всего</t>
        </is>
      </c>
      <c r="C14" s="8" t="inlineStr">
        <is>
          <t>Подходов в неделю</t>
        </is>
      </c>
      <c r="D14" s="8" t="inlineStr">
        <is>
          <t>Тоннаж, кг</t>
        </is>
      </c>
      <c r="E14" s="8" t="inlineStr">
        <is>
          <t>Оценка нагрузки</t>
        </is>
      </c>
    </row>
    <row r="15">
      <c r="A15" s="10" t="inlineStr">
        <is>
          <t>Ноги</t>
        </is>
      </c>
      <c r="B15" s="11">
        <f>SUMIF(Тренировки!$E$2:$E$73,$A15,Тренировки!$G$2:$G$73)</f>
        <v/>
      </c>
      <c r="C15" s="11">
        <f>IFERROR(ROUND($B15/MAX(Тренировки!$K$2:$K$73),1),0)</f>
        <v/>
      </c>
      <c r="D15" s="15">
        <f>SUMIF(Тренировки!$E$2:$E$73,$A15,Тренировки!$I$2:$I$73)</f>
        <v/>
      </c>
      <c r="E15" s="11">
        <f>IF($C15&lt;Модель!$B$27*0.8,"мало",IF($C15&gt;Модель!$B$27*1.2,"много","норма"))</f>
        <v/>
      </c>
    </row>
    <row r="16">
      <c r="A16" s="10" t="inlineStr">
        <is>
          <t>Грудь</t>
        </is>
      </c>
      <c r="B16" s="11">
        <f>SUMIF(Тренировки!$E$2:$E$73,$A16,Тренировки!$G$2:$G$73)</f>
        <v/>
      </c>
      <c r="C16" s="11">
        <f>IFERROR(ROUND($B16/MAX(Тренировки!$K$2:$K$73),1),0)</f>
        <v/>
      </c>
      <c r="D16" s="15">
        <f>SUMIF(Тренировки!$E$2:$E$73,$A16,Тренировки!$I$2:$I$73)</f>
        <v/>
      </c>
      <c r="E16" s="11">
        <f>IF($C16&lt;Модель!$B$27*0.8,"мало",IF($C16&gt;Модель!$B$27*1.2,"много","норма"))</f>
        <v/>
      </c>
    </row>
    <row r="17">
      <c r="A17" s="10" t="inlineStr">
        <is>
          <t>Спина</t>
        </is>
      </c>
      <c r="B17" s="11">
        <f>SUMIF(Тренировки!$E$2:$E$73,$A17,Тренировки!$G$2:$G$73)</f>
        <v/>
      </c>
      <c r="C17" s="11">
        <f>IFERROR(ROUND($B17/MAX(Тренировки!$K$2:$K$73),1),0)</f>
        <v/>
      </c>
      <c r="D17" s="15">
        <f>SUMIF(Тренировки!$E$2:$E$73,$A17,Тренировки!$I$2:$I$73)</f>
        <v/>
      </c>
      <c r="E17" s="11">
        <f>IF($C17&lt;Модель!$B$27*0.8,"мало",IF($C17&gt;Модель!$B$27*1.2,"много","норма"))</f>
        <v/>
      </c>
    </row>
    <row r="18">
      <c r="A18" s="10" t="inlineStr">
        <is>
          <t>Плечи</t>
        </is>
      </c>
      <c r="B18" s="11">
        <f>SUMIF(Тренировки!$E$2:$E$73,$A18,Тренировки!$G$2:$G$73)</f>
        <v/>
      </c>
      <c r="C18" s="11">
        <f>IFERROR(ROUND($B18/MAX(Тренировки!$K$2:$K$73),1),0)</f>
        <v/>
      </c>
      <c r="D18" s="15">
        <f>SUMIF(Тренировки!$E$2:$E$73,$A18,Тренировки!$I$2:$I$73)</f>
        <v/>
      </c>
      <c r="E18" s="11">
        <f>IF($C18&lt;Модель!$B$27*0.8,"мало",IF($C18&gt;Модель!$B$27*1.2,"много","норма"))</f>
        <v/>
      </c>
    </row>
    <row r="19">
      <c r="A19" s="10" t="inlineStr">
        <is>
          <t>Руки</t>
        </is>
      </c>
      <c r="B19" s="11">
        <f>SUMIF(Тренировки!$E$2:$E$73,$A19,Тренировки!$G$2:$G$73)</f>
        <v/>
      </c>
      <c r="C19" s="11">
        <f>IFERROR(ROUND($B19/MAX(Тренировки!$K$2:$K$73),1),0)</f>
        <v/>
      </c>
      <c r="D19" s="15">
        <f>SUMIF(Тренировки!$E$2:$E$73,$A19,Тренировки!$I$2:$I$73)</f>
        <v/>
      </c>
      <c r="E19" s="11">
        <f>IF($C19&lt;Модель!$B$27*0.8,"мало",IF($C19&gt;Модель!$B$27*1.2,"много","норма"))</f>
        <v/>
      </c>
    </row>
    <row r="20">
      <c r="A20" s="10" t="inlineStr">
        <is>
          <t>Пресс</t>
        </is>
      </c>
      <c r="B20" s="11">
        <f>SUMIF(Тренировки!$E$2:$E$73,$A20,Тренировки!$G$2:$G$73)</f>
        <v/>
      </c>
      <c r="C20" s="11">
        <f>IFERROR(ROUND($B20/MAX(Тренировки!$K$2:$K$73),1),0)</f>
        <v/>
      </c>
      <c r="D20" s="15">
        <f>SUMIF(Тренировки!$E$2:$E$73,$A20,Тренировки!$I$2:$I$73)</f>
        <v/>
      </c>
      <c r="E20" s="11">
        <f>IF($C20&lt;Модель!$B$27*0.8,"мало",IF($C20&gt;Модель!$B$27*1.2,"много","норма"))</f>
        <v/>
      </c>
    </row>
    <row r="21"/>
    <row r="22">
      <c r="A22" s="4" t="inlineStr">
        <is>
          <t>Динамика по неделям</t>
        </is>
      </c>
    </row>
    <row r="23">
      <c r="A23" s="8" t="inlineStr">
        <is>
          <t>Неделя</t>
        </is>
      </c>
      <c r="B23" s="8" t="inlineStr">
        <is>
          <t>Тренировок</t>
        </is>
      </c>
      <c r="C23" s="8" t="inlineStr">
        <is>
          <t>Тоннаж, кг</t>
        </is>
      </c>
      <c r="D23" s="8" t="inlineStr">
        <is>
          <t>Подходов</t>
        </is>
      </c>
      <c r="E23" s="8" t="inlineStr">
        <is>
          <t>Рабочий вес в приседе, кг</t>
        </is>
      </c>
    </row>
    <row r="24">
      <c r="A24" s="9" t="n">
        <v>1</v>
      </c>
      <c r="B24" s="11">
        <f>SUMIF(Тренировки!$K$2:$K$73,$A24,Тренировки!$L$2:$L$73)</f>
        <v/>
      </c>
      <c r="C24" s="15">
        <f>SUMIF(Тренировки!$K$2:$K$73,$A24,Тренировки!$I$2:$I$73)</f>
        <v/>
      </c>
      <c r="D24" s="11">
        <f>SUMIF(Тренировки!$K$2:$K$73,$A24,Тренировки!$G$2:$G$73)</f>
        <v/>
      </c>
      <c r="E24" s="11">
        <f>IFERROR(SUMIFS(Тренировки!$F$2:$F$73,Тренировки!$C$2:$C$73,"E01",Тренировки!$K$2:$K$73,$A24)/COUNTIFS(Тренировки!$C$2:$C$73,"E01",Тренировки!$K$2:$K$73,$A24),0)</f>
        <v/>
      </c>
    </row>
    <row r="25">
      <c r="A25" s="9" t="n">
        <v>2</v>
      </c>
      <c r="B25" s="11">
        <f>SUMIF(Тренировки!$K$2:$K$73,$A25,Тренировки!$L$2:$L$73)</f>
        <v/>
      </c>
      <c r="C25" s="15">
        <f>SUMIF(Тренировки!$K$2:$K$73,$A25,Тренировки!$I$2:$I$73)</f>
        <v/>
      </c>
      <c r="D25" s="11">
        <f>SUMIF(Тренировки!$K$2:$K$73,$A25,Тренировки!$G$2:$G$73)</f>
        <v/>
      </c>
      <c r="E25" s="11">
        <f>IFERROR(SUMIFS(Тренировки!$F$2:$F$73,Тренировки!$C$2:$C$73,"E01",Тренировки!$K$2:$K$73,$A25)/COUNTIFS(Тренировки!$C$2:$C$73,"E01",Тренировки!$K$2:$K$73,$A25),0)</f>
        <v/>
      </c>
    </row>
    <row r="26">
      <c r="A26" s="9" t="n">
        <v>3</v>
      </c>
      <c r="B26" s="11">
        <f>SUMIF(Тренировки!$K$2:$K$73,$A26,Тренировки!$L$2:$L$73)</f>
        <v/>
      </c>
      <c r="C26" s="15">
        <f>SUMIF(Тренировки!$K$2:$K$73,$A26,Тренировки!$I$2:$I$73)</f>
        <v/>
      </c>
      <c r="D26" s="11">
        <f>SUMIF(Тренировки!$K$2:$K$73,$A26,Тренировки!$G$2:$G$73)</f>
        <v/>
      </c>
      <c r="E26" s="11">
        <f>IFERROR(SUMIFS(Тренировки!$F$2:$F$73,Тренировки!$C$2:$C$73,"E01",Тренировки!$K$2:$K$73,$A26)/COUNTIFS(Тренировки!$C$2:$C$73,"E01",Тренировки!$K$2:$K$73,$A26),0)</f>
        <v/>
      </c>
    </row>
    <row r="27">
      <c r="A27" s="9" t="n">
        <v>4</v>
      </c>
      <c r="B27" s="11">
        <f>SUMIF(Тренировки!$K$2:$K$73,$A27,Тренировки!$L$2:$L$73)</f>
        <v/>
      </c>
      <c r="C27" s="15">
        <f>SUMIF(Тренировки!$K$2:$K$73,$A27,Тренировки!$I$2:$I$73)</f>
        <v/>
      </c>
      <c r="D27" s="11">
        <f>SUMIF(Тренировки!$K$2:$K$73,$A27,Тренировки!$G$2:$G$73)</f>
        <v/>
      </c>
      <c r="E27" s="11">
        <f>IFERROR(SUMIFS(Тренировки!$F$2:$F$73,Тренировки!$C$2:$C$73,"E01",Тренировки!$K$2:$K$73,$A27)/COUNTIFS(Тренировки!$C$2:$C$73,"E01",Тренировки!$K$2:$K$73,$A27),0)</f>
        <v/>
      </c>
    </row>
    <row r="28">
      <c r="A28" s="9" t="n">
        <v>5</v>
      </c>
      <c r="B28" s="11">
        <f>SUMIF(Тренировки!$K$2:$K$73,$A28,Тренировки!$L$2:$L$73)</f>
        <v/>
      </c>
      <c r="C28" s="15">
        <f>SUMIF(Тренировки!$K$2:$K$73,$A28,Тренировки!$I$2:$I$73)</f>
        <v/>
      </c>
      <c r="D28" s="11">
        <f>SUMIF(Тренировки!$K$2:$K$73,$A28,Тренировки!$G$2:$G$73)</f>
        <v/>
      </c>
      <c r="E28" s="11">
        <f>IFERROR(SUMIFS(Тренировки!$F$2:$F$73,Тренировки!$C$2:$C$73,"E01",Тренировки!$K$2:$K$73,$A28)/COUNTIFS(Тренировки!$C$2:$C$73,"E01",Тренировки!$K$2:$K$73,$A28),0)</f>
        <v/>
      </c>
    </row>
    <row r="29">
      <c r="A29" s="9" t="n">
        <v>6</v>
      </c>
      <c r="B29" s="11">
        <f>SUMIF(Тренировки!$K$2:$K$73,$A29,Тренировки!$L$2:$L$73)</f>
        <v/>
      </c>
      <c r="C29" s="15">
        <f>SUMIF(Тренировки!$K$2:$K$73,$A29,Тренировки!$I$2:$I$73)</f>
        <v/>
      </c>
      <c r="D29" s="11">
        <f>SUMIF(Тренировки!$K$2:$K$73,$A29,Тренировки!$G$2:$G$73)</f>
        <v/>
      </c>
      <c r="E29" s="11">
        <f>IFERROR(SUMIFS(Тренировки!$F$2:$F$73,Тренировки!$C$2:$C$73,"E01",Тренировки!$K$2:$K$73,$A29)/COUNTIFS(Тренировки!$C$2:$C$73,"E01",Тренировки!$K$2:$K$73,$A29),0)</f>
        <v/>
      </c>
    </row>
    <row r="30"/>
    <row r="31">
      <c r="A31" s="4" t="inlineStr">
        <is>
          <t>Прогресс по базовым упражнениям</t>
        </is>
      </c>
    </row>
    <row r="32">
      <c r="A32" s="8" t="inlineStr">
        <is>
          <t>Код</t>
        </is>
      </c>
      <c r="B32" s="8" t="inlineStr">
        <is>
          <t>Упражнение</t>
        </is>
      </c>
      <c r="C32" s="8" t="inlineStr">
        <is>
          <t>Вес в 1-ю неделю, кг</t>
        </is>
      </c>
      <c r="D32" s="8" t="inlineStr">
        <is>
          <t>Вес в последнюю неделю, кг</t>
        </is>
      </c>
      <c r="E32" s="8" t="inlineStr">
        <is>
          <t>Прирост, кг</t>
        </is>
      </c>
      <c r="F32" s="8" t="inlineStr">
        <is>
          <t>Прирост, %</t>
        </is>
      </c>
      <c r="G32" s="8" t="inlineStr">
        <is>
          <t>Максимальный 1ПМ, кг</t>
        </is>
      </c>
    </row>
    <row r="33">
      <c r="A33" s="9" t="inlineStr">
        <is>
          <t>E01</t>
        </is>
      </c>
      <c r="B33" s="13">
        <f>IFERROR(INDEX(Упражнения!$B$2:$B$13,MATCH($A33,Упражнения!$A$2:$A$13,0)),"")</f>
        <v/>
      </c>
      <c r="C33" s="11">
        <f>IFERROR(SUMIFS(Тренировки!$F$2:$F$73,Тренировки!$C$2:$C$73,$A33,Тренировки!$K$2:$K$73,1)/COUNTIFS(Тренировки!$C$2:$C$73,$A33,Тренировки!$K$2:$K$73,1),0)</f>
        <v/>
      </c>
      <c r="D33" s="11">
        <f>IFERROR(SUMIFS(Тренировки!$F$2:$F$73,Тренировки!$C$2:$C$73,$A33,Тренировки!$K$2:$K$73,MAX(Тренировки!$K$2:$K$73))/COUNTIFS(Тренировки!$C$2:$C$73,$A33,Тренировки!$K$2:$K$73,MAX(Тренировки!$K$2:$K$73)),0)</f>
        <v/>
      </c>
      <c r="E33" s="11">
        <f>$D33-$C33</f>
        <v/>
      </c>
      <c r="F33" s="16">
        <f>IFERROR($E33/$C33,0)</f>
        <v/>
      </c>
      <c r="G33" s="11">
        <f>IFERROR(SUMPRODUCT(MAX((Тренировки!$C$2:$C$73=$A33)*Тренировки!$J$2:$J$73)),0)</f>
        <v/>
      </c>
    </row>
    <row r="34">
      <c r="A34" s="9" t="inlineStr">
        <is>
          <t>E02</t>
        </is>
      </c>
      <c r="B34" s="13">
        <f>IFERROR(INDEX(Упражнения!$B$2:$B$13,MATCH($A34,Упражнения!$A$2:$A$13,0)),"")</f>
        <v/>
      </c>
      <c r="C34" s="11">
        <f>IFERROR(SUMIFS(Тренировки!$F$2:$F$73,Тренировки!$C$2:$C$73,$A34,Тренировки!$K$2:$K$73,1)/COUNTIFS(Тренировки!$C$2:$C$73,$A34,Тренировки!$K$2:$K$73,1),0)</f>
        <v/>
      </c>
      <c r="D34" s="11">
        <f>IFERROR(SUMIFS(Тренировки!$F$2:$F$73,Тренировки!$C$2:$C$73,$A34,Тренировки!$K$2:$K$73,MAX(Тренировки!$K$2:$K$73))/COUNTIFS(Тренировки!$C$2:$C$73,$A34,Тренировки!$K$2:$K$73,MAX(Тренировки!$K$2:$K$73)),0)</f>
        <v/>
      </c>
      <c r="E34" s="11">
        <f>$D34-$C34</f>
        <v/>
      </c>
      <c r="F34" s="16">
        <f>IFERROR($E34/$C34,0)</f>
        <v/>
      </c>
      <c r="G34" s="11">
        <f>IFERROR(SUMPRODUCT(MAX((Тренировки!$C$2:$C$73=$A34)*Тренировки!$J$2:$J$73)),0)</f>
        <v/>
      </c>
    </row>
    <row r="35">
      <c r="A35" s="9" t="inlineStr">
        <is>
          <t>E03</t>
        </is>
      </c>
      <c r="B35" s="13">
        <f>IFERROR(INDEX(Упражнения!$B$2:$B$13,MATCH($A35,Упражнения!$A$2:$A$13,0)),"")</f>
        <v/>
      </c>
      <c r="C35" s="11">
        <f>IFERROR(SUMIFS(Тренировки!$F$2:$F$73,Тренировки!$C$2:$C$73,$A35,Тренировки!$K$2:$K$73,1)/COUNTIFS(Тренировки!$C$2:$C$73,$A35,Тренировки!$K$2:$K$73,1),0)</f>
        <v/>
      </c>
      <c r="D35" s="11">
        <f>IFERROR(SUMIFS(Тренировки!$F$2:$F$73,Тренировки!$C$2:$C$73,$A35,Тренировки!$K$2:$K$73,MAX(Тренировки!$K$2:$K$73))/COUNTIFS(Тренировки!$C$2:$C$73,$A35,Тренировки!$K$2:$K$73,MAX(Тренировки!$K$2:$K$73)),0)</f>
        <v/>
      </c>
      <c r="E35" s="11">
        <f>$D35-$C35</f>
        <v/>
      </c>
      <c r="F35" s="16">
        <f>IFERROR($E35/$C35,0)</f>
        <v/>
      </c>
      <c r="G35" s="11">
        <f>IFERROR(SUMPRODUCT(MAX((Тренировки!$C$2:$C$73=$A35)*Тренировки!$J$2:$J$73)),0)</f>
        <v/>
      </c>
    </row>
    <row r="36">
      <c r="A36" s="9" t="inlineStr">
        <is>
          <t>E04</t>
        </is>
      </c>
      <c r="B36" s="13">
        <f>IFERROR(INDEX(Упражнения!$B$2:$B$13,MATCH($A36,Упражнения!$A$2:$A$13,0)),"")</f>
        <v/>
      </c>
      <c r="C36" s="11">
        <f>IFERROR(SUMIFS(Тренировки!$F$2:$F$73,Тренировки!$C$2:$C$73,$A36,Тренировки!$K$2:$K$73,1)/COUNTIFS(Тренировки!$C$2:$C$73,$A36,Тренировки!$K$2:$K$73,1),0)</f>
        <v/>
      </c>
      <c r="D36" s="11">
        <f>IFERROR(SUMIFS(Тренировки!$F$2:$F$73,Тренировки!$C$2:$C$73,$A36,Тренировки!$K$2:$K$73,MAX(Тренировки!$K$2:$K$73))/COUNTIFS(Тренировки!$C$2:$C$73,$A36,Тренировки!$K$2:$K$73,MAX(Тренировки!$K$2:$K$73)),0)</f>
        <v/>
      </c>
      <c r="E36" s="11">
        <f>$D36-$C36</f>
        <v/>
      </c>
      <c r="F36" s="16">
        <f>IFERROR($E36/$C36,0)</f>
        <v/>
      </c>
      <c r="G36" s="11">
        <f>IFERROR(SUMPRODUCT(MAX((Тренировки!$C$2:$C$73=$A36)*Тренировки!$J$2:$J$73)),0)</f>
        <v/>
      </c>
    </row>
    <row r="37">
      <c r="A37" s="9" t="inlineStr">
        <is>
          <t>E05</t>
        </is>
      </c>
      <c r="B37" s="13">
        <f>IFERROR(INDEX(Упражнения!$B$2:$B$13,MATCH($A37,Упражнения!$A$2:$A$13,0)),"")</f>
        <v/>
      </c>
      <c r="C37" s="11">
        <f>IFERROR(SUMIFS(Тренировки!$F$2:$F$73,Тренировки!$C$2:$C$73,$A37,Тренировки!$K$2:$K$73,1)/COUNTIFS(Тренировки!$C$2:$C$73,$A37,Тренировки!$K$2:$K$73,1),0)</f>
        <v/>
      </c>
      <c r="D37" s="11">
        <f>IFERROR(SUMIFS(Тренировки!$F$2:$F$73,Тренировки!$C$2:$C$73,$A37,Тренировки!$K$2:$K$73,MAX(Тренировки!$K$2:$K$73))/COUNTIFS(Тренировки!$C$2:$C$73,$A37,Тренировки!$K$2:$K$73,MAX(Тренировки!$K$2:$K$73)),0)</f>
        <v/>
      </c>
      <c r="E37" s="11">
        <f>$D37-$C37</f>
        <v/>
      </c>
      <c r="F37" s="16">
        <f>IFERROR($E37/$C37,0)</f>
        <v/>
      </c>
      <c r="G37" s="11">
        <f>IFERROR(SUMPRODUCT(MAX((Тренировки!$C$2:$C$73=$A37)*Тренировки!$J$2:$J$73)),0)</f>
        <v/>
      </c>
    </row>
    <row r="38">
      <c r="A38" s="9" t="inlineStr">
        <is>
          <t>E11</t>
        </is>
      </c>
      <c r="B38" s="13">
        <f>IFERROR(INDEX(Упражнения!$B$2:$B$13,MATCH($A38,Упражнения!$A$2:$A$13,0)),"")</f>
        <v/>
      </c>
      <c r="C38" s="11">
        <f>IFERROR(SUMIFS(Тренировки!$F$2:$F$73,Тренировки!$C$2:$C$73,$A38,Тренировки!$K$2:$K$73,1)/COUNTIFS(Тренировки!$C$2:$C$73,$A38,Тренировки!$K$2:$K$73,1),0)</f>
        <v/>
      </c>
      <c r="D38" s="11">
        <f>IFERROR(SUMIFS(Тренировки!$F$2:$F$73,Тренировки!$C$2:$C$73,$A38,Тренировки!$K$2:$K$73,MAX(Тренировки!$K$2:$K$73))/COUNTIFS(Тренировки!$C$2:$C$73,$A38,Тренировки!$K$2:$K$73,MAX(Тренировки!$K$2:$K$73)),0)</f>
        <v/>
      </c>
      <c r="E38" s="11">
        <f>$D38-$C38</f>
        <v/>
      </c>
      <c r="F38" s="16">
        <f>IFERROR($E38/$C38,0)</f>
        <v/>
      </c>
      <c r="G38" s="11">
        <f>IFERROR(SUMPRODUCT(MAX((Тренировки!$C$2:$C$73=$A38)*Тренировки!$J$2:$J$73)),0)</f>
        <v/>
      </c>
    </row>
    <row r="39"/>
    <row r="40">
      <c r="A40" s="4" t="inlineStr">
        <is>
          <t>Прогноз достижения цели (приседания со штангой)</t>
        </is>
      </c>
    </row>
    <row r="41">
      <c r="A41" s="5" t="inlineStr">
        <is>
          <t>Текущий рабочий вес, кг</t>
        </is>
      </c>
      <c r="B41" s="11">
        <f>IFERROR(SUMIFS(Тренировки!$F$2:$F$73,Тренировки!$C$2:$C$73,"E01",Тренировки!$K$2:$K$73,MAX(Тренировки!$K$2:$K$73))/COUNTIFS(Тренировки!$C$2:$C$73,"E01",Тренировки!$K$2:$K$73,MAX(Тренировки!$K$2:$K$73)),0)</f>
        <v/>
      </c>
    </row>
    <row r="42">
      <c r="A42" s="5" t="inlineStr">
        <is>
          <t>Цель, кг</t>
        </is>
      </c>
      <c r="B42" s="11">
        <f>Модель!$B$26</f>
        <v/>
      </c>
    </row>
    <row r="43">
      <c r="A43" s="5" t="inlineStr">
        <is>
          <t>Осталось набрать, кг</t>
        </is>
      </c>
      <c r="B43" s="11">
        <f>MAX(0,$B42-$B41)</f>
        <v/>
      </c>
    </row>
    <row r="44">
      <c r="A44" s="5" t="inlineStr">
        <is>
          <t>Недель при текущем шаге</t>
        </is>
      </c>
      <c r="B44" s="11">
        <f>IFERROR(ROUNDUP($B43/Модель!$B$25,0),0)</f>
        <v/>
      </c>
    </row>
    <row r="45">
      <c r="A45" s="5" t="inlineStr">
        <is>
          <t>Ожидаемая дата достижения цели</t>
        </is>
      </c>
      <c r="B45" s="17">
        <f>Модель!$B$29+$B44*7</f>
        <v/>
      </c>
    </row>
    <row r="46"/>
    <row r="47">
      <c r="A47" s="5" t="inlineStr">
        <is>
          <t>Все показатели вычисляются формулами по листам «Упражнения» и «Тренировки»; при изменении данных дневника или параметров на листе «Модель» они пересчитываются автоматически.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2026-09-20T12:19:10Z</dcterms:created>
  <dcterms:modified xsi:type="dcterms:W3CDTF">2026-09-20T12:19:10Z</dcterms:modified>
</cp:coreProperties>
</file>