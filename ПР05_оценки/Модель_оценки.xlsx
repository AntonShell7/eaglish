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дель" sheetId="1" state="visible" r:id="rId1"/>
    <sheet name="Предметы" sheetId="2" state="visible" r:id="rId2"/>
    <sheet name="Оценки" sheetId="3" state="visible" r:id="rId3"/>
    <sheet name="Итог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2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2" fillId="0" borderId="1" pivotButton="0" quotePrefix="0" xfId="0"/>
    <xf numFmtId="2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Средний балл по предметам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'Итоги'!C10</f>
            </strRef>
          </tx>
          <spPr>
            <a:ln>
              <a:prstDash val="solid"/>
            </a:ln>
          </spPr>
          <cat>
            <numRef>
              <f>'Итоги'!$A$11:$A$18</f>
            </numRef>
          </cat>
          <val>
            <numRef>
              <f>'Итоги'!$C$11:$C$18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</cols>
  <sheetData>
    <row r="1">
      <c r="A1" s="1" t="inlineStr">
        <is>
          <t>Информационная модель «Мои оценки за четверть»</t>
        </is>
      </c>
    </row>
    <row r="2"/>
    <row r="3">
      <c r="A3" s="2" t="inlineStr">
        <is>
          <t>Цель: следить за успеваемостью и понимать, что нужно исправить до конца четверти.</t>
        </is>
      </c>
    </row>
    <row r="4">
      <c r="A4" s="3" t="inlineStr">
        <is>
          <t>Вопросы модели:</t>
        </is>
      </c>
    </row>
    <row r="5">
      <c r="A5" s="2" t="inlineStr">
        <is>
          <t>1. Какой средний балл по каждому предмету?</t>
        </is>
      </c>
    </row>
    <row r="6">
      <c r="A6" s="2" t="inlineStr">
        <is>
          <t>2. Какая итоговая оценка выходит сейчас?</t>
        </is>
      </c>
    </row>
    <row r="7">
      <c r="A7" s="2" t="inlineStr">
        <is>
          <t>3. По каким предметам оценка «на грани» и что нужно подтянуть?</t>
        </is>
      </c>
    </row>
    <row r="8">
      <c r="A8" s="2" t="inlineStr">
        <is>
          <t>4. Сколько пятёрок нужно получить, чтобы выйти на нужный средний балл?</t>
        </is>
      </c>
    </row>
    <row r="9">
      <c r="A9" s="2" t="inlineStr">
        <is>
          <t>Тип модели: табличная — справочник предметов + журнал оценок + расчёты.</t>
        </is>
      </c>
    </row>
    <row r="10">
      <c r="A10" s="2" t="inlineStr">
        <is>
          <t>Существенно: предмет, дата, оценка, вид работы.</t>
        </is>
      </c>
    </row>
    <row r="11">
      <c r="A11" s="2" t="inlineStr">
        <is>
          <t>Несущественно: кабинет, номер урока, настроение учителя.</t>
        </is>
      </c>
    </row>
    <row r="12"/>
    <row r="13">
      <c r="A13" s="3" t="inlineStr">
        <is>
          <t>Параметры (жёлтые ячейки можно менять)</t>
        </is>
      </c>
    </row>
    <row r="14">
      <c r="A14" s="2" t="inlineStr">
        <is>
          <t>Нужный средний балл</t>
        </is>
      </c>
      <c r="B14" s="4" t="n">
        <v>4.5</v>
      </c>
    </row>
    <row r="15">
      <c r="A15" s="2" t="inlineStr">
        <is>
          <t>Начало четверти</t>
        </is>
      </c>
      <c r="B15" s="5" t="n">
        <v>46266</v>
      </c>
    </row>
    <row r="16">
      <c r="A16" s="2" t="inlineStr">
        <is>
          <t>Сегодняшняя дата</t>
        </is>
      </c>
      <c r="B16" s="5" t="n">
        <v>46287</v>
      </c>
    </row>
    <row r="17"/>
    <row r="18">
      <c r="A18" s="2" t="inlineStr">
        <is>
          <t>Синий шрифт — данные, введённые вручную; чёрный — расчёт по формулам.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</cols>
  <sheetData>
    <row r="1">
      <c r="A1" s="6" t="inlineStr">
        <is>
          <t>Код</t>
        </is>
      </c>
      <c r="B1" s="6" t="inlineStr">
        <is>
          <t>Предмет</t>
        </is>
      </c>
      <c r="C1" s="6" t="inlineStr">
        <is>
          <t>Учитель</t>
        </is>
      </c>
    </row>
    <row r="2">
      <c r="A2" s="7" t="inlineStr">
        <is>
          <t>П1</t>
        </is>
      </c>
      <c r="B2" s="8" t="inlineStr">
        <is>
          <t>Информатика</t>
        </is>
      </c>
      <c r="C2" s="8" t="inlineStr">
        <is>
          <t>Евгений Сергеевич</t>
        </is>
      </c>
    </row>
    <row r="3">
      <c r="A3" s="7" t="inlineStr">
        <is>
          <t>П2</t>
        </is>
      </c>
      <c r="B3" s="8" t="inlineStr">
        <is>
          <t>Алгебра</t>
        </is>
      </c>
      <c r="C3" s="8" t="inlineStr">
        <is>
          <t>Ирина Павловна</t>
        </is>
      </c>
    </row>
    <row r="4">
      <c r="A4" s="7" t="inlineStr">
        <is>
          <t>П3</t>
        </is>
      </c>
      <c r="B4" s="8" t="inlineStr">
        <is>
          <t>Геометрия</t>
        </is>
      </c>
      <c r="C4" s="8" t="inlineStr">
        <is>
          <t>Ирина Павловна</t>
        </is>
      </c>
    </row>
    <row r="5">
      <c r="A5" s="7" t="inlineStr">
        <is>
          <t>П4</t>
        </is>
      </c>
      <c r="B5" s="8" t="inlineStr">
        <is>
          <t>Физика</t>
        </is>
      </c>
      <c r="C5" s="8" t="inlineStr">
        <is>
          <t>Олег Данилович</t>
        </is>
      </c>
    </row>
    <row r="6">
      <c r="A6" s="7" t="inlineStr">
        <is>
          <t>П5</t>
        </is>
      </c>
      <c r="B6" s="8" t="inlineStr">
        <is>
          <t>Русский язык</t>
        </is>
      </c>
      <c r="C6" s="8" t="inlineStr">
        <is>
          <t>Марина Юрьевна</t>
        </is>
      </c>
    </row>
    <row r="7">
      <c r="A7" s="7" t="inlineStr">
        <is>
          <t>П6</t>
        </is>
      </c>
      <c r="B7" s="8" t="inlineStr">
        <is>
          <t>Литература</t>
        </is>
      </c>
      <c r="C7" s="8" t="inlineStr">
        <is>
          <t>Марина Юрьевна</t>
        </is>
      </c>
    </row>
    <row r="8">
      <c r="A8" s="7" t="inlineStr">
        <is>
          <t>П7</t>
        </is>
      </c>
      <c r="B8" s="8" t="inlineStr">
        <is>
          <t>История</t>
        </is>
      </c>
      <c r="C8" s="8" t="inlineStr">
        <is>
          <t>Андрей Викторович</t>
        </is>
      </c>
    </row>
    <row r="9">
      <c r="A9" s="7" t="inlineStr">
        <is>
          <t>П8</t>
        </is>
      </c>
      <c r="B9" s="8" t="inlineStr">
        <is>
          <t>Английский язык</t>
        </is>
      </c>
      <c r="C9" s="8" t="inlineStr">
        <is>
          <t>Светлана Игоревна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22" customWidth="1" min="4" max="4"/>
    <col width="9" customWidth="1" min="5" max="5"/>
    <col width="18" customWidth="1" min="6" max="6"/>
  </cols>
  <sheetData>
    <row r="1">
      <c r="A1" s="6" t="inlineStr">
        <is>
          <t>№</t>
        </is>
      </c>
      <c r="B1" s="6" t="inlineStr">
        <is>
          <t>Дата</t>
        </is>
      </c>
      <c r="C1" s="6" t="inlineStr">
        <is>
          <t>Код</t>
        </is>
      </c>
      <c r="D1" s="6" t="inlineStr">
        <is>
          <t>Предмет (авто)</t>
        </is>
      </c>
      <c r="E1" s="6" t="inlineStr">
        <is>
          <t>Оценка</t>
        </is>
      </c>
      <c r="F1" s="6" t="inlineStr">
        <is>
          <t>Вид работы</t>
        </is>
      </c>
    </row>
    <row r="2">
      <c r="A2" s="9" t="n">
        <v>1</v>
      </c>
      <c r="B2" s="10" t="n">
        <v>46267</v>
      </c>
      <c r="C2" s="7" t="inlineStr">
        <is>
          <t>П1</t>
        </is>
      </c>
      <c r="D2" s="11">
        <f>IFERROR(INDEX(Предметы!$B$2:$B$9,MATCH($C2,Предметы!$A$2:$A$9,0)),"")</f>
        <v/>
      </c>
      <c r="E2" s="7" t="n">
        <v>5</v>
      </c>
      <c r="F2" s="8" t="inlineStr">
        <is>
          <t>устный ответ</t>
        </is>
      </c>
    </row>
    <row r="3">
      <c r="A3" s="9" t="n">
        <v>2</v>
      </c>
      <c r="B3" s="10" t="n">
        <v>46267</v>
      </c>
      <c r="C3" s="7" t="inlineStr">
        <is>
          <t>П2</t>
        </is>
      </c>
      <c r="D3" s="11">
        <f>IFERROR(INDEX(Предметы!$B$2:$B$9,MATCH($C3,Предметы!$A$2:$A$9,0)),"")</f>
        <v/>
      </c>
      <c r="E3" s="7" t="n">
        <v>4</v>
      </c>
      <c r="F3" s="8" t="inlineStr">
        <is>
          <t>самостоятельная</t>
        </is>
      </c>
    </row>
    <row r="4">
      <c r="A4" s="9" t="n">
        <v>3</v>
      </c>
      <c r="B4" s="10" t="n">
        <v>46268</v>
      </c>
      <c r="C4" s="7" t="inlineStr">
        <is>
          <t>П5</t>
        </is>
      </c>
      <c r="D4" s="11">
        <f>IFERROR(INDEX(Предметы!$B$2:$B$9,MATCH($C4,Предметы!$A$2:$A$9,0)),"")</f>
        <v/>
      </c>
      <c r="E4" s="7" t="n">
        <v>4</v>
      </c>
      <c r="F4" s="8" t="inlineStr">
        <is>
          <t>диктант</t>
        </is>
      </c>
    </row>
    <row r="5">
      <c r="A5" s="9" t="n">
        <v>4</v>
      </c>
      <c r="B5" s="10" t="n">
        <v>46268</v>
      </c>
      <c r="C5" s="7" t="inlineStr">
        <is>
          <t>П7</t>
        </is>
      </c>
      <c r="D5" s="11">
        <f>IFERROR(INDEX(Предметы!$B$2:$B$9,MATCH($C5,Предметы!$A$2:$A$9,0)),"")</f>
        <v/>
      </c>
      <c r="E5" s="7" t="n">
        <v>5</v>
      </c>
      <c r="F5" s="8" t="inlineStr">
        <is>
          <t>устный ответ</t>
        </is>
      </c>
    </row>
    <row r="6">
      <c r="A6" s="9" t="n">
        <v>5</v>
      </c>
      <c r="B6" s="10" t="n">
        <v>46269</v>
      </c>
      <c r="C6" s="7" t="inlineStr">
        <is>
          <t>П4</t>
        </is>
      </c>
      <c r="D6" s="11">
        <f>IFERROR(INDEX(Предметы!$B$2:$B$9,MATCH($C6,Предметы!$A$2:$A$9,0)),"")</f>
        <v/>
      </c>
      <c r="E6" s="7" t="n">
        <v>3</v>
      </c>
      <c r="F6" s="8" t="inlineStr">
        <is>
          <t>самостоятельная</t>
        </is>
      </c>
    </row>
    <row r="7">
      <c r="A7" s="9" t="n">
        <v>6</v>
      </c>
      <c r="B7" s="10" t="n">
        <v>46269</v>
      </c>
      <c r="C7" s="7" t="inlineStr">
        <is>
          <t>П8</t>
        </is>
      </c>
      <c r="D7" s="11">
        <f>IFERROR(INDEX(Предметы!$B$2:$B$9,MATCH($C7,Предметы!$A$2:$A$9,0)),"")</f>
        <v/>
      </c>
      <c r="E7" s="7" t="n">
        <v>5</v>
      </c>
      <c r="F7" s="8" t="inlineStr">
        <is>
          <t>устный ответ</t>
        </is>
      </c>
    </row>
    <row r="8">
      <c r="A8" s="9" t="n">
        <v>7</v>
      </c>
      <c r="B8" s="10" t="n">
        <v>46272</v>
      </c>
      <c r="C8" s="7" t="inlineStr">
        <is>
          <t>П3</t>
        </is>
      </c>
      <c r="D8" s="11">
        <f>IFERROR(INDEX(Предметы!$B$2:$B$9,MATCH($C8,Предметы!$A$2:$A$9,0)),"")</f>
        <v/>
      </c>
      <c r="E8" s="7" t="n">
        <v>4</v>
      </c>
      <c r="F8" s="8" t="inlineStr">
        <is>
          <t>домашняя работа</t>
        </is>
      </c>
    </row>
    <row r="9">
      <c r="A9" s="9" t="n">
        <v>8</v>
      </c>
      <c r="B9" s="10" t="n">
        <v>46272</v>
      </c>
      <c r="C9" s="7" t="inlineStr">
        <is>
          <t>П6</t>
        </is>
      </c>
      <c r="D9" s="11">
        <f>IFERROR(INDEX(Предметы!$B$2:$B$9,MATCH($C9,Предметы!$A$2:$A$9,0)),"")</f>
        <v/>
      </c>
      <c r="E9" s="7" t="n">
        <v>5</v>
      </c>
      <c r="F9" s="8" t="inlineStr">
        <is>
          <t>сочинение</t>
        </is>
      </c>
    </row>
    <row r="10">
      <c r="A10" s="9" t="n">
        <v>9</v>
      </c>
      <c r="B10" s="10" t="n">
        <v>46273</v>
      </c>
      <c r="C10" s="7" t="inlineStr">
        <is>
          <t>П1</t>
        </is>
      </c>
      <c r="D10" s="11">
        <f>IFERROR(INDEX(Предметы!$B$2:$B$9,MATCH($C10,Предметы!$A$2:$A$9,0)),"")</f>
        <v/>
      </c>
      <c r="E10" s="7" t="n">
        <v>5</v>
      </c>
      <c r="F10" s="8" t="inlineStr">
        <is>
          <t>практическая</t>
        </is>
      </c>
    </row>
    <row r="11">
      <c r="A11" s="9" t="n">
        <v>10</v>
      </c>
      <c r="B11" s="10" t="n">
        <v>46273</v>
      </c>
      <c r="C11" s="7" t="inlineStr">
        <is>
          <t>П2</t>
        </is>
      </c>
      <c r="D11" s="11">
        <f>IFERROR(INDEX(Предметы!$B$2:$B$9,MATCH($C11,Предметы!$A$2:$A$9,0)),"")</f>
        <v/>
      </c>
      <c r="E11" s="7" t="n">
        <v>5</v>
      </c>
      <c r="F11" s="8" t="inlineStr">
        <is>
          <t>устный ответ</t>
        </is>
      </c>
    </row>
    <row r="12">
      <c r="A12" s="9" t="n">
        <v>11</v>
      </c>
      <c r="B12" s="10" t="n">
        <v>46274</v>
      </c>
      <c r="C12" s="7" t="inlineStr">
        <is>
          <t>П4</t>
        </is>
      </c>
      <c r="D12" s="11">
        <f>IFERROR(INDEX(Предметы!$B$2:$B$9,MATCH($C12,Предметы!$A$2:$A$9,0)),"")</f>
        <v/>
      </c>
      <c r="E12" s="7" t="n">
        <v>4</v>
      </c>
      <c r="F12" s="8" t="inlineStr">
        <is>
          <t>лабораторная</t>
        </is>
      </c>
    </row>
    <row r="13">
      <c r="A13" s="9" t="n">
        <v>12</v>
      </c>
      <c r="B13" s="10" t="n">
        <v>46274</v>
      </c>
      <c r="C13" s="7" t="inlineStr">
        <is>
          <t>П5</t>
        </is>
      </c>
      <c r="D13" s="11">
        <f>IFERROR(INDEX(Предметы!$B$2:$B$9,MATCH($C13,Предметы!$A$2:$A$9,0)),"")</f>
        <v/>
      </c>
      <c r="E13" s="7" t="n">
        <v>3</v>
      </c>
      <c r="F13" s="8" t="inlineStr">
        <is>
          <t>словарный диктант</t>
        </is>
      </c>
    </row>
    <row r="14">
      <c r="A14" s="9" t="n">
        <v>13</v>
      </c>
      <c r="B14" s="10" t="n">
        <v>46275</v>
      </c>
      <c r="C14" s="7" t="inlineStr">
        <is>
          <t>П7</t>
        </is>
      </c>
      <c r="D14" s="11">
        <f>IFERROR(INDEX(Предметы!$B$2:$B$9,MATCH($C14,Предметы!$A$2:$A$9,0)),"")</f>
        <v/>
      </c>
      <c r="E14" s="7" t="n">
        <v>4</v>
      </c>
      <c r="F14" s="8" t="inlineStr">
        <is>
          <t>доклад</t>
        </is>
      </c>
    </row>
    <row r="15">
      <c r="A15" s="9" t="n">
        <v>14</v>
      </c>
      <c r="B15" s="10" t="n">
        <v>46275</v>
      </c>
      <c r="C15" s="7" t="inlineStr">
        <is>
          <t>П8</t>
        </is>
      </c>
      <c r="D15" s="11">
        <f>IFERROR(INDEX(Предметы!$B$2:$B$9,MATCH($C15,Предметы!$A$2:$A$9,0)),"")</f>
        <v/>
      </c>
      <c r="E15" s="7" t="n">
        <v>4</v>
      </c>
      <c r="F15" s="8" t="inlineStr">
        <is>
          <t>словарный диктант</t>
        </is>
      </c>
    </row>
    <row r="16">
      <c r="A16" s="9" t="n">
        <v>15</v>
      </c>
      <c r="B16" s="10" t="n">
        <v>46276</v>
      </c>
      <c r="C16" s="7" t="inlineStr">
        <is>
          <t>П3</t>
        </is>
      </c>
      <c r="D16" s="11">
        <f>IFERROR(INDEX(Предметы!$B$2:$B$9,MATCH($C16,Предметы!$A$2:$A$9,0)),"")</f>
        <v/>
      </c>
      <c r="E16" s="7" t="n">
        <v>3</v>
      </c>
      <c r="F16" s="8" t="inlineStr">
        <is>
          <t>контрольная</t>
        </is>
      </c>
    </row>
    <row r="17">
      <c r="A17" s="9" t="n">
        <v>16</v>
      </c>
      <c r="B17" s="10" t="n">
        <v>46276</v>
      </c>
      <c r="C17" s="7" t="inlineStr">
        <is>
          <t>П6</t>
        </is>
      </c>
      <c r="D17" s="11">
        <f>IFERROR(INDEX(Предметы!$B$2:$B$9,MATCH($C17,Предметы!$A$2:$A$9,0)),"")</f>
        <v/>
      </c>
      <c r="E17" s="7" t="n">
        <v>4</v>
      </c>
      <c r="F17" s="8" t="inlineStr">
        <is>
          <t>устный ответ</t>
        </is>
      </c>
    </row>
    <row r="18">
      <c r="A18" s="9" t="n">
        <v>17</v>
      </c>
      <c r="B18" s="10" t="n">
        <v>46279</v>
      </c>
      <c r="C18" s="7" t="inlineStr">
        <is>
          <t>П1</t>
        </is>
      </c>
      <c r="D18" s="11">
        <f>IFERROR(INDEX(Предметы!$B$2:$B$9,MATCH($C18,Предметы!$A$2:$A$9,0)),"")</f>
        <v/>
      </c>
      <c r="E18" s="7" t="n">
        <v>4</v>
      </c>
      <c r="F18" s="8" t="inlineStr">
        <is>
          <t>контрольная</t>
        </is>
      </c>
    </row>
    <row r="19">
      <c r="A19" s="9" t="n">
        <v>18</v>
      </c>
      <c r="B19" s="10" t="n">
        <v>46279</v>
      </c>
      <c r="C19" s="7" t="inlineStr">
        <is>
          <t>П2</t>
        </is>
      </c>
      <c r="D19" s="11">
        <f>IFERROR(INDEX(Предметы!$B$2:$B$9,MATCH($C19,Предметы!$A$2:$A$9,0)),"")</f>
        <v/>
      </c>
      <c r="E19" s="7" t="n">
        <v>4</v>
      </c>
      <c r="F19" s="8" t="inlineStr">
        <is>
          <t>контрольная</t>
        </is>
      </c>
    </row>
    <row r="20">
      <c r="A20" s="9" t="n">
        <v>19</v>
      </c>
      <c r="B20" s="10" t="n">
        <v>46280</v>
      </c>
      <c r="C20" s="7" t="inlineStr">
        <is>
          <t>П5</t>
        </is>
      </c>
      <c r="D20" s="11">
        <f>IFERROR(INDEX(Предметы!$B$2:$B$9,MATCH($C20,Предметы!$A$2:$A$9,0)),"")</f>
        <v/>
      </c>
      <c r="E20" s="7" t="n">
        <v>4</v>
      </c>
      <c r="F20" s="8" t="inlineStr">
        <is>
          <t>изложение</t>
        </is>
      </c>
    </row>
    <row r="21">
      <c r="A21" s="9" t="n">
        <v>20</v>
      </c>
      <c r="B21" s="10" t="n">
        <v>46280</v>
      </c>
      <c r="C21" s="7" t="inlineStr">
        <is>
          <t>П4</t>
        </is>
      </c>
      <c r="D21" s="11">
        <f>IFERROR(INDEX(Предметы!$B$2:$B$9,MATCH($C21,Предметы!$A$2:$A$9,0)),"")</f>
        <v/>
      </c>
      <c r="E21" s="7" t="n">
        <v>4</v>
      </c>
      <c r="F21" s="8" t="inlineStr">
        <is>
          <t>устный ответ</t>
        </is>
      </c>
    </row>
    <row r="22">
      <c r="A22" s="9" t="n">
        <v>21</v>
      </c>
      <c r="B22" s="10" t="n">
        <v>46281</v>
      </c>
      <c r="C22" s="7" t="inlineStr">
        <is>
          <t>П7</t>
        </is>
      </c>
      <c r="D22" s="11">
        <f>IFERROR(INDEX(Предметы!$B$2:$B$9,MATCH($C22,Предметы!$A$2:$A$9,0)),"")</f>
        <v/>
      </c>
      <c r="E22" s="7" t="n">
        <v>5</v>
      </c>
      <c r="F22" s="8" t="inlineStr">
        <is>
          <t>тест</t>
        </is>
      </c>
    </row>
    <row r="23">
      <c r="A23" s="9" t="n">
        <v>22</v>
      </c>
      <c r="B23" s="10" t="n">
        <v>46281</v>
      </c>
      <c r="C23" s="7" t="inlineStr">
        <is>
          <t>П8</t>
        </is>
      </c>
      <c r="D23" s="11">
        <f>IFERROR(INDEX(Предметы!$B$2:$B$9,MATCH($C23,Предметы!$A$2:$A$9,0)),"")</f>
        <v/>
      </c>
      <c r="E23" s="7" t="n">
        <v>5</v>
      </c>
      <c r="F23" s="8" t="inlineStr">
        <is>
          <t>диалог</t>
        </is>
      </c>
    </row>
    <row r="24">
      <c r="A24" s="9" t="n">
        <v>23</v>
      </c>
      <c r="B24" s="10" t="n">
        <v>46282</v>
      </c>
      <c r="C24" s="7" t="inlineStr">
        <is>
          <t>П3</t>
        </is>
      </c>
      <c r="D24" s="11">
        <f>IFERROR(INDEX(Предметы!$B$2:$B$9,MATCH($C24,Предметы!$A$2:$A$9,0)),"")</f>
        <v/>
      </c>
      <c r="E24" s="7" t="n">
        <v>4</v>
      </c>
      <c r="F24" s="8" t="inlineStr">
        <is>
          <t>самостоятельная</t>
        </is>
      </c>
    </row>
    <row r="25">
      <c r="A25" s="9" t="n">
        <v>24</v>
      </c>
      <c r="B25" s="10" t="n">
        <v>46282</v>
      </c>
      <c r="C25" s="7" t="inlineStr">
        <is>
          <t>П6</t>
        </is>
      </c>
      <c r="D25" s="11">
        <f>IFERROR(INDEX(Предметы!$B$2:$B$9,MATCH($C25,Предметы!$A$2:$A$9,0)),"")</f>
        <v/>
      </c>
      <c r="E25" s="7" t="n">
        <v>5</v>
      </c>
      <c r="F25" s="8" t="inlineStr">
        <is>
          <t>наизусть</t>
        </is>
      </c>
    </row>
    <row r="26">
      <c r="A26" s="9" t="n">
        <v>25</v>
      </c>
      <c r="B26" s="10" t="n">
        <v>46283</v>
      </c>
      <c r="C26" s="7" t="inlineStr">
        <is>
          <t>П1</t>
        </is>
      </c>
      <c r="D26" s="11">
        <f>IFERROR(INDEX(Предметы!$B$2:$B$9,MATCH($C26,Предметы!$A$2:$A$9,0)),"")</f>
        <v/>
      </c>
      <c r="E26" s="7" t="n">
        <v>5</v>
      </c>
      <c r="F26" s="8" t="inlineStr">
        <is>
          <t>проект</t>
        </is>
      </c>
    </row>
    <row r="27">
      <c r="A27" s="9" t="n">
        <v>26</v>
      </c>
      <c r="B27" s="10" t="n">
        <v>46283</v>
      </c>
      <c r="C27" s="7" t="inlineStr">
        <is>
          <t>П2</t>
        </is>
      </c>
      <c r="D27" s="11">
        <f>IFERROR(INDEX(Предметы!$B$2:$B$9,MATCH($C27,Предметы!$A$2:$A$9,0)),"")</f>
        <v/>
      </c>
      <c r="E27" s="7" t="n">
        <v>3</v>
      </c>
      <c r="F27" s="8" t="inlineStr">
        <is>
          <t>самостоятельная</t>
        </is>
      </c>
    </row>
    <row r="28">
      <c r="A28" s="9" t="n">
        <v>27</v>
      </c>
      <c r="B28" s="10" t="n">
        <v>46286</v>
      </c>
      <c r="C28" s="7" t="inlineStr">
        <is>
          <t>П4</t>
        </is>
      </c>
      <c r="D28" s="11">
        <f>IFERROR(INDEX(Предметы!$B$2:$B$9,MATCH($C28,Предметы!$A$2:$A$9,0)),"")</f>
        <v/>
      </c>
      <c r="E28" s="7" t="n">
        <v>4</v>
      </c>
      <c r="F28" s="8" t="inlineStr">
        <is>
          <t>контрольная</t>
        </is>
      </c>
    </row>
    <row r="29">
      <c r="A29" s="9" t="n">
        <v>28</v>
      </c>
      <c r="B29" s="10" t="n">
        <v>46286</v>
      </c>
      <c r="C29" s="7" t="inlineStr">
        <is>
          <t>П5</t>
        </is>
      </c>
      <c r="D29" s="11">
        <f>IFERROR(INDEX(Предметы!$B$2:$B$9,MATCH($C29,Предметы!$A$2:$A$9,0)),"")</f>
        <v/>
      </c>
      <c r="E29" s="7" t="n">
        <v>4</v>
      </c>
      <c r="F29" s="8" t="inlineStr">
        <is>
          <t>устный ответ</t>
        </is>
      </c>
    </row>
    <row r="30">
      <c r="A30" s="9" t="n">
        <v>29</v>
      </c>
      <c r="B30" s="10" t="n">
        <v>46287</v>
      </c>
      <c r="C30" s="7" t="inlineStr">
        <is>
          <t>П7</t>
        </is>
      </c>
      <c r="D30" s="11">
        <f>IFERROR(INDEX(Предметы!$B$2:$B$9,MATCH($C30,Предметы!$A$2:$A$9,0)),"")</f>
        <v/>
      </c>
      <c r="E30" s="7" t="n">
        <v>4</v>
      </c>
      <c r="F30" s="8" t="inlineStr">
        <is>
          <t>устный ответ</t>
        </is>
      </c>
    </row>
    <row r="31">
      <c r="A31" s="9" t="n">
        <v>30</v>
      </c>
      <c r="B31" s="10" t="n">
        <v>46287</v>
      </c>
      <c r="C31" s="7" t="inlineStr">
        <is>
          <t>П8</t>
        </is>
      </c>
      <c r="D31" s="11">
        <f>IFERROR(INDEX(Предметы!$B$2:$B$9,MATCH($C31,Предметы!$A$2:$A$9,0)),"")</f>
        <v/>
      </c>
      <c r="E31" s="7" t="n">
        <v>5</v>
      </c>
      <c r="F31" s="8" t="inlineStr">
        <is>
          <t>тест</t>
        </is>
      </c>
    </row>
    <row r="32">
      <c r="A32" s="9" t="n">
        <v>31</v>
      </c>
      <c r="B32" s="10" t="n">
        <v>46287</v>
      </c>
      <c r="C32" s="7" t="inlineStr">
        <is>
          <t>П6</t>
        </is>
      </c>
      <c r="D32" s="11">
        <f>IFERROR(INDEX(Предметы!$B$2:$B$9,MATCH($C32,Предметы!$A$2:$A$9,0)),"")</f>
        <v/>
      </c>
      <c r="E32" s="7" t="n">
        <v>4</v>
      </c>
      <c r="F32" s="8" t="inlineStr">
        <is>
          <t>устный ответ</t>
        </is>
      </c>
    </row>
    <row r="33">
      <c r="A33" s="9" t="n">
        <v>32</v>
      </c>
      <c r="B33" s="10" t="n">
        <v>46286</v>
      </c>
      <c r="C33" s="7" t="inlineStr">
        <is>
          <t>П3</t>
        </is>
      </c>
      <c r="D33" s="11">
        <f>IFERROR(INDEX(Предметы!$B$2:$B$9,MATCH($C33,Предметы!$A$2:$A$9,0)),"")</f>
        <v/>
      </c>
      <c r="E33" s="7" t="n">
        <v>4</v>
      </c>
      <c r="F33" s="8" t="inlineStr">
        <is>
          <t>устный ответ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Результаты</t>
        </is>
      </c>
    </row>
    <row r="2"/>
    <row r="3">
      <c r="A3" s="2" t="inlineStr">
        <is>
          <t>Оценок получено всего</t>
        </is>
      </c>
      <c r="B3" s="9">
        <f>COUNT(Оценки!$E$2:$E$33)</f>
        <v/>
      </c>
    </row>
    <row r="4">
      <c r="A4" s="2" t="inlineStr">
        <is>
          <t>Средний балл по всем предметам</t>
        </is>
      </c>
      <c r="B4" s="12">
        <f>ROUND(AVERAGE(Оценки!$E$2:$E$33),2)</f>
        <v/>
      </c>
    </row>
    <row r="5">
      <c r="A5" s="2" t="inlineStr">
        <is>
          <t>Пятёрок</t>
        </is>
      </c>
      <c r="B5" s="9">
        <f>COUNTIF(Оценки!$E$2:$E$33,5)</f>
        <v/>
      </c>
    </row>
    <row r="6">
      <c r="A6" s="2" t="inlineStr">
        <is>
          <t>Четвёрок</t>
        </is>
      </c>
      <c r="B6" s="9">
        <f>COUNTIF(Оценки!$E$2:$E$33,4)</f>
        <v/>
      </c>
    </row>
    <row r="7">
      <c r="A7" s="2" t="inlineStr">
        <is>
          <t>Троек</t>
        </is>
      </c>
      <c r="B7" s="9">
        <f>COUNTIF(Оценки!$E$2:$E$33,3)</f>
        <v/>
      </c>
    </row>
    <row r="8"/>
    <row r="9">
      <c r="A9" s="3" t="inlineStr">
        <is>
          <t>По предметам</t>
        </is>
      </c>
    </row>
    <row r="10">
      <c r="A10" s="6" t="inlineStr">
        <is>
          <t>Предмет</t>
        </is>
      </c>
      <c r="B10" s="6" t="inlineStr">
        <is>
          <t>Оценок</t>
        </is>
      </c>
      <c r="C10" s="6" t="inlineStr">
        <is>
          <t>Средний балл</t>
        </is>
      </c>
      <c r="D10" s="6" t="inlineStr">
        <is>
          <t>Итоговая оценка</t>
        </is>
      </c>
      <c r="E10" s="6" t="inlineStr">
        <is>
          <t>Пятёрок до цели</t>
        </is>
      </c>
      <c r="F10" s="6" t="inlineStr">
        <is>
          <t>Статус</t>
        </is>
      </c>
    </row>
    <row r="11">
      <c r="A11" s="11">
        <f>IFERROR(INDEX(Предметы!$B$2:$B$9,MATCH("П1",Предметы!$A$2:$A$9,0)),"")</f>
        <v/>
      </c>
      <c r="B11" s="9">
        <f>COUNTIF(Оценки!$C$2:$C$33,"П1")</f>
        <v/>
      </c>
      <c r="C11" s="12">
        <f>IFERROR(ROUND(SUMIF(Оценки!$C$2:$C$33,"П1",Оценки!$E$2:$E$33)/$B11,2),0)</f>
        <v/>
      </c>
      <c r="D11" s="9">
        <f>ROUND($C11,0)</f>
        <v/>
      </c>
      <c r="E11" s="9">
        <f>IF($C11&gt;=Модель!$B$14,0,ROUNDUP(($B11*(Модель!$B$14-$C11))/(5-Модель!$B$14),0))</f>
        <v/>
      </c>
      <c r="F11" s="9">
        <f>IF($C11&gt;=Модель!$B$14,"цель достигнута",IF($C11&gt;=4,"на грани","нужно подтянуть"))</f>
        <v/>
      </c>
    </row>
    <row r="12">
      <c r="A12" s="11">
        <f>IFERROR(INDEX(Предметы!$B$2:$B$9,MATCH("П2",Предметы!$A$2:$A$9,0)),"")</f>
        <v/>
      </c>
      <c r="B12" s="9">
        <f>COUNTIF(Оценки!$C$2:$C$33,"П2")</f>
        <v/>
      </c>
      <c r="C12" s="12">
        <f>IFERROR(ROUND(SUMIF(Оценки!$C$2:$C$33,"П2",Оценки!$E$2:$E$33)/$B12,2),0)</f>
        <v/>
      </c>
      <c r="D12" s="9">
        <f>ROUND($C12,0)</f>
        <v/>
      </c>
      <c r="E12" s="9">
        <f>IF($C12&gt;=Модель!$B$14,0,ROUNDUP(($B12*(Модель!$B$14-$C12))/(5-Модель!$B$14),0))</f>
        <v/>
      </c>
      <c r="F12" s="9">
        <f>IF($C12&gt;=Модель!$B$14,"цель достигнута",IF($C12&gt;=4,"на грани","нужно подтянуть"))</f>
        <v/>
      </c>
    </row>
    <row r="13">
      <c r="A13" s="11">
        <f>IFERROR(INDEX(Предметы!$B$2:$B$9,MATCH("П3",Предметы!$A$2:$A$9,0)),"")</f>
        <v/>
      </c>
      <c r="B13" s="9">
        <f>COUNTIF(Оценки!$C$2:$C$33,"П3")</f>
        <v/>
      </c>
      <c r="C13" s="12">
        <f>IFERROR(ROUND(SUMIF(Оценки!$C$2:$C$33,"П3",Оценки!$E$2:$E$33)/$B13,2),0)</f>
        <v/>
      </c>
      <c r="D13" s="9">
        <f>ROUND($C13,0)</f>
        <v/>
      </c>
      <c r="E13" s="9">
        <f>IF($C13&gt;=Модель!$B$14,0,ROUNDUP(($B13*(Модель!$B$14-$C13))/(5-Модель!$B$14),0))</f>
        <v/>
      </c>
      <c r="F13" s="9">
        <f>IF($C13&gt;=Модель!$B$14,"цель достигнута",IF($C13&gt;=4,"на грани","нужно подтянуть"))</f>
        <v/>
      </c>
    </row>
    <row r="14">
      <c r="A14" s="11">
        <f>IFERROR(INDEX(Предметы!$B$2:$B$9,MATCH("П4",Предметы!$A$2:$A$9,0)),"")</f>
        <v/>
      </c>
      <c r="B14" s="9">
        <f>COUNTIF(Оценки!$C$2:$C$33,"П4")</f>
        <v/>
      </c>
      <c r="C14" s="12">
        <f>IFERROR(ROUND(SUMIF(Оценки!$C$2:$C$33,"П4",Оценки!$E$2:$E$33)/$B14,2),0)</f>
        <v/>
      </c>
      <c r="D14" s="9">
        <f>ROUND($C14,0)</f>
        <v/>
      </c>
      <c r="E14" s="9">
        <f>IF($C14&gt;=Модель!$B$14,0,ROUNDUP(($B14*(Модель!$B$14-$C14))/(5-Модель!$B$14),0))</f>
        <v/>
      </c>
      <c r="F14" s="9">
        <f>IF($C14&gt;=Модель!$B$14,"цель достигнута",IF($C14&gt;=4,"на грани","нужно подтянуть"))</f>
        <v/>
      </c>
    </row>
    <row r="15">
      <c r="A15" s="11">
        <f>IFERROR(INDEX(Предметы!$B$2:$B$9,MATCH("П5",Предметы!$A$2:$A$9,0)),"")</f>
        <v/>
      </c>
      <c r="B15" s="9">
        <f>COUNTIF(Оценки!$C$2:$C$33,"П5")</f>
        <v/>
      </c>
      <c r="C15" s="12">
        <f>IFERROR(ROUND(SUMIF(Оценки!$C$2:$C$33,"П5",Оценки!$E$2:$E$33)/$B15,2),0)</f>
        <v/>
      </c>
      <c r="D15" s="9">
        <f>ROUND($C15,0)</f>
        <v/>
      </c>
      <c r="E15" s="9">
        <f>IF($C15&gt;=Модель!$B$14,0,ROUNDUP(($B15*(Модель!$B$14-$C15))/(5-Модель!$B$14),0))</f>
        <v/>
      </c>
      <c r="F15" s="9">
        <f>IF($C15&gt;=Модель!$B$14,"цель достигнута",IF($C15&gt;=4,"на грани","нужно подтянуть"))</f>
        <v/>
      </c>
    </row>
    <row r="16">
      <c r="A16" s="11">
        <f>IFERROR(INDEX(Предметы!$B$2:$B$9,MATCH("П6",Предметы!$A$2:$A$9,0)),"")</f>
        <v/>
      </c>
      <c r="B16" s="9">
        <f>COUNTIF(Оценки!$C$2:$C$33,"П6")</f>
        <v/>
      </c>
      <c r="C16" s="12">
        <f>IFERROR(ROUND(SUMIF(Оценки!$C$2:$C$33,"П6",Оценки!$E$2:$E$33)/$B16,2),0)</f>
        <v/>
      </c>
      <c r="D16" s="9">
        <f>ROUND($C16,0)</f>
        <v/>
      </c>
      <c r="E16" s="9">
        <f>IF($C16&gt;=Модель!$B$14,0,ROUNDUP(($B16*(Модель!$B$14-$C16))/(5-Модель!$B$14),0))</f>
        <v/>
      </c>
      <c r="F16" s="9">
        <f>IF($C16&gt;=Модель!$B$14,"цель достигнута",IF($C16&gt;=4,"на грани","нужно подтянуть"))</f>
        <v/>
      </c>
    </row>
    <row r="17">
      <c r="A17" s="11">
        <f>IFERROR(INDEX(Предметы!$B$2:$B$9,MATCH("П7",Предметы!$A$2:$A$9,0)),"")</f>
        <v/>
      </c>
      <c r="B17" s="9">
        <f>COUNTIF(Оценки!$C$2:$C$33,"П7")</f>
        <v/>
      </c>
      <c r="C17" s="12">
        <f>IFERROR(ROUND(SUMIF(Оценки!$C$2:$C$33,"П7",Оценки!$E$2:$E$33)/$B17,2),0)</f>
        <v/>
      </c>
      <c r="D17" s="9">
        <f>ROUND($C17,0)</f>
        <v/>
      </c>
      <c r="E17" s="9">
        <f>IF($C17&gt;=Модель!$B$14,0,ROUNDUP(($B17*(Модель!$B$14-$C17))/(5-Модель!$B$14),0))</f>
        <v/>
      </c>
      <c r="F17" s="9">
        <f>IF($C17&gt;=Модель!$B$14,"цель достигнута",IF($C17&gt;=4,"на грани","нужно подтянуть"))</f>
        <v/>
      </c>
    </row>
    <row r="18">
      <c r="A18" s="11">
        <f>IFERROR(INDEX(Предметы!$B$2:$B$9,MATCH("П8",Предметы!$A$2:$A$9,0)),"")</f>
        <v/>
      </c>
      <c r="B18" s="9">
        <f>COUNTIF(Оценки!$C$2:$C$33,"П8")</f>
        <v/>
      </c>
      <c r="C18" s="12">
        <f>IFERROR(ROUND(SUMIF(Оценки!$C$2:$C$33,"П8",Оценки!$E$2:$E$33)/$B18,2),0)</f>
        <v/>
      </c>
      <c r="D18" s="9">
        <f>ROUND($C18,0)</f>
        <v/>
      </c>
      <c r="E18" s="9">
        <f>IF($C18&gt;=Модель!$B$14,0,ROUNDUP(($B18*(Модель!$B$14-$C18))/(5-Модель!$B$14),0))</f>
        <v/>
      </c>
      <c r="F18" s="9">
        <f>IF($C18&gt;=Модель!$B$14,"цель достигнута",IF($C18&gt;=4,"на грани","нужно подтянуть"))</f>
        <v/>
      </c>
    </row>
    <row r="19"/>
    <row r="20">
      <c r="A20" s="3" t="inlineStr">
        <is>
          <t>Цель по среднему баллу</t>
        </is>
      </c>
    </row>
    <row r="21">
      <c r="A21" s="2" t="inlineStr">
        <is>
          <t>Нужный средний балл</t>
        </is>
      </c>
      <c r="B21" s="12">
        <f>Модель!$B$14</f>
        <v/>
      </c>
    </row>
    <row r="22">
      <c r="A22" s="2" t="inlineStr">
        <is>
          <t>Предметов, где цель достигнута</t>
        </is>
      </c>
      <c r="B22" s="9">
        <f>COUNTIF($F$11:$F$18,"цель достигнута")</f>
        <v/>
      </c>
    </row>
    <row r="23">
      <c r="A23" s="2" t="inlineStr">
        <is>
          <t>Предметов «на грани»</t>
        </is>
      </c>
      <c r="B23" s="9">
        <f>COUNTIF($F$11:$F$18,"на грани")</f>
        <v/>
      </c>
    </row>
    <row r="24">
      <c r="A24" s="2" t="inlineStr">
        <is>
          <t>Предметов, где нужно подтянуть</t>
        </is>
      </c>
      <c r="B24" s="9">
        <f>COUNTIF($F$11:$F$18,"нужно подтянуть")</f>
        <v/>
      </c>
    </row>
    <row r="25">
      <c r="A25" s="2" t="inlineStr">
        <is>
          <t>Всего пятёрок нужно добрать</t>
        </is>
      </c>
      <c r="B25" s="9">
        <f>SUM($E$11:$E$18)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2026-09-22T19:51:51Z</dcterms:created>
  <dcterms:modified xsi:type="dcterms:W3CDTF">2026-09-22T19:51:51Z</dcterms:modified>
</cp:coreProperties>
</file>