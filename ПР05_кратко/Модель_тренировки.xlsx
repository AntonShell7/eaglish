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Модель" sheetId="1" state="visible" r:id="rId1"/>
    <sheet name="Упражнения" sheetId="2" state="visible" r:id="rId2"/>
    <sheet name="Тренировки" sheetId="3" state="visible" r:id="rId3"/>
    <sheet name="Итог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1"/>
    </font>
    <font>
      <name val="Arial"/>
      <b val="1"/>
      <sz val="11"/>
    </font>
    <font>
      <name val="Arial"/>
      <color rgb="000000FF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5" fontId="4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2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Тоннаж по неделям, кг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'Итоги'!B17</f>
            </strRef>
          </tx>
          <spPr>
            <a:ln>
              <a:prstDash val="solid"/>
            </a:ln>
          </spPr>
          <cat>
            <numRef>
              <f>'Итоги'!$A$18:$A$21</f>
            </numRef>
          </cat>
          <val>
            <numRef>
              <f>'Итоги'!$B$18:$B$21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8" customWidth="1" min="1" max="1"/>
    <col width="14" customWidth="1" min="2" max="2"/>
  </cols>
  <sheetData>
    <row r="1">
      <c r="A1" s="1" t="inlineStr">
        <is>
          <t>Информационная модель «Мои силовые тренировки»</t>
        </is>
      </c>
    </row>
    <row r="2"/>
    <row r="3">
      <c r="A3" s="2" t="inlineStr">
        <is>
          <t>Цель: считать объём работы и следить за ростом рабочих весов.</t>
        </is>
      </c>
    </row>
    <row r="4">
      <c r="A4" s="3" t="inlineStr">
        <is>
          <t>Вопросы модели:</t>
        </is>
      </c>
    </row>
    <row r="5">
      <c r="A5" s="2" t="inlineStr">
        <is>
          <t>1. Сколько работы (тоннажа) сделано за неделю и за весь цикл?</t>
        </is>
      </c>
    </row>
    <row r="6">
      <c r="A6" s="2" t="inlineStr">
        <is>
          <t>2. Как растут рабочие веса?</t>
        </is>
      </c>
    </row>
    <row r="7">
      <c r="A7" s="2" t="inlineStr">
        <is>
          <t>3. Какие группы мышц нагружены больше, какие меньше?</t>
        </is>
      </c>
    </row>
    <row r="8">
      <c r="A8" s="2" t="inlineStr">
        <is>
          <t>4. Когда при текущем темпе будет достигнута цель в приседе?</t>
        </is>
      </c>
    </row>
    <row r="9">
      <c r="A9" s="2" t="inlineStr">
        <is>
          <t>Тип модели: табличная — справочник упражнений + журнал тренировок + расчёты.</t>
        </is>
      </c>
    </row>
    <row r="10">
      <c r="A10" s="2" t="inlineStr">
        <is>
          <t>Существенно: упражнение, группа мышц, дата, вес, подходы, повторы.</t>
        </is>
      </c>
    </row>
    <row r="11">
      <c r="A11" s="2" t="inlineStr">
        <is>
          <t>Несущественно: отдых между подходами, пульс, питание, марка снаряда.</t>
        </is>
      </c>
    </row>
    <row r="12"/>
    <row r="13">
      <c r="A13" s="3" t="inlineStr">
        <is>
          <t>Параметры (жёлтые ячейки можно менять)</t>
        </is>
      </c>
    </row>
    <row r="14">
      <c r="A14" s="2" t="inlineStr">
        <is>
          <t>Шаг прибавки веса за неделю, кг</t>
        </is>
      </c>
      <c r="B14" s="4" t="n">
        <v>2.5</v>
      </c>
    </row>
    <row r="15">
      <c r="A15" s="2" t="inlineStr">
        <is>
          <t>Цель: рабочий вес в приседе, кг</t>
        </is>
      </c>
      <c r="B15" s="4" t="n">
        <v>90</v>
      </c>
    </row>
    <row r="16">
      <c r="A16" s="2" t="inlineStr">
        <is>
          <t>Дата начала цикла</t>
        </is>
      </c>
      <c r="B16" s="5" t="n">
        <v>46258</v>
      </c>
    </row>
    <row r="17">
      <c r="A17" s="2" t="inlineStr">
        <is>
          <t>Сегодняшняя дата</t>
        </is>
      </c>
      <c r="B17" s="5" t="n">
        <v>46287</v>
      </c>
    </row>
    <row r="18"/>
    <row r="19">
      <c r="A19" s="2" t="inlineStr">
        <is>
          <t>Синий шрифт — данные, введённые вручную; чёрный — расчёт по формулам.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5" customWidth="1" min="3" max="3"/>
    <col width="14" customWidth="1" min="4" max="4"/>
  </cols>
  <sheetData>
    <row r="1">
      <c r="A1" s="6" t="inlineStr">
        <is>
          <t>Код</t>
        </is>
      </c>
      <c r="B1" s="6" t="inlineStr">
        <is>
          <t>Упражнение</t>
        </is>
      </c>
      <c r="C1" s="6" t="inlineStr">
        <is>
          <t>Группа мышц</t>
        </is>
      </c>
      <c r="D1" s="6" t="inlineStr">
        <is>
          <t>Снаряд</t>
        </is>
      </c>
    </row>
    <row r="2">
      <c r="A2" s="7" t="inlineStr">
        <is>
          <t>У1</t>
        </is>
      </c>
      <c r="B2" s="8" t="inlineStr">
        <is>
          <t>Приседания со штангой</t>
        </is>
      </c>
      <c r="C2" s="8" t="inlineStr">
        <is>
          <t>Ноги</t>
        </is>
      </c>
      <c r="D2" s="8" t="inlineStr">
        <is>
          <t>Штанга</t>
        </is>
      </c>
    </row>
    <row r="3">
      <c r="A3" s="7" t="inlineStr">
        <is>
          <t>У2</t>
        </is>
      </c>
      <c r="B3" s="8" t="inlineStr">
        <is>
          <t>Жим штанги лёжа</t>
        </is>
      </c>
      <c r="C3" s="8" t="inlineStr">
        <is>
          <t>Грудь</t>
        </is>
      </c>
      <c r="D3" s="8" t="inlineStr">
        <is>
          <t>Штанга</t>
        </is>
      </c>
    </row>
    <row r="4">
      <c r="A4" s="7" t="inlineStr">
        <is>
          <t>У3</t>
        </is>
      </c>
      <c r="B4" s="8" t="inlineStr">
        <is>
          <t>Становая тяга</t>
        </is>
      </c>
      <c r="C4" s="8" t="inlineStr">
        <is>
          <t>Спина</t>
        </is>
      </c>
      <c r="D4" s="8" t="inlineStr">
        <is>
          <t>Штанга</t>
        </is>
      </c>
    </row>
    <row r="5">
      <c r="A5" s="7" t="inlineStr">
        <is>
          <t>У4</t>
        </is>
      </c>
      <c r="B5" s="8" t="inlineStr">
        <is>
          <t>Тяга штанги в наклоне</t>
        </is>
      </c>
      <c r="C5" s="8" t="inlineStr">
        <is>
          <t>Спина</t>
        </is>
      </c>
      <c r="D5" s="8" t="inlineStr">
        <is>
          <t>Штанга</t>
        </is>
      </c>
    </row>
    <row r="6">
      <c r="A6" s="7" t="inlineStr">
        <is>
          <t>У5</t>
        </is>
      </c>
      <c r="B6" s="8" t="inlineStr">
        <is>
          <t>Жим гантелей сидя</t>
        </is>
      </c>
      <c r="C6" s="8" t="inlineStr">
        <is>
          <t>Плечи</t>
        </is>
      </c>
      <c r="D6" s="8" t="inlineStr">
        <is>
          <t>Гантели</t>
        </is>
      </c>
    </row>
    <row r="7">
      <c r="A7" s="7" t="inlineStr">
        <is>
          <t>У6</t>
        </is>
      </c>
      <c r="B7" s="8" t="inlineStr">
        <is>
          <t>Подъём штанги на бицепс</t>
        </is>
      </c>
      <c r="C7" s="8" t="inlineStr">
        <is>
          <t>Руки</t>
        </is>
      </c>
      <c r="D7" s="8" t="inlineStr">
        <is>
          <t>Штанга</t>
        </is>
      </c>
    </row>
    <row r="8">
      <c r="A8" s="7" t="inlineStr">
        <is>
          <t>У7</t>
        </is>
      </c>
      <c r="B8" s="8" t="inlineStr">
        <is>
          <t>Французский жим</t>
        </is>
      </c>
      <c r="C8" s="8" t="inlineStr">
        <is>
          <t>Руки</t>
        </is>
      </c>
      <c r="D8" s="8" t="inlineStr">
        <is>
          <t>Штанга</t>
        </is>
      </c>
    </row>
    <row r="9">
      <c r="A9" s="7" t="inlineStr">
        <is>
          <t>У8</t>
        </is>
      </c>
      <c r="B9" s="8" t="inlineStr">
        <is>
          <t>Жим ногами</t>
        </is>
      </c>
      <c r="C9" s="8" t="inlineStr">
        <is>
          <t>Ноги</t>
        </is>
      </c>
      <c r="D9" s="8" t="inlineStr">
        <is>
          <t>Тренажёр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26" customWidth="1" min="4" max="4"/>
    <col width="16" customWidth="1" min="5" max="5"/>
    <col width="10" customWidth="1" min="6" max="6"/>
    <col width="10" customWidth="1" min="7" max="7"/>
    <col width="10" customWidth="1" min="8" max="8"/>
    <col width="15" customWidth="1" min="9" max="9"/>
    <col width="10" customWidth="1" min="10" max="10"/>
    <col width="13" customWidth="1" min="11" max="11"/>
  </cols>
  <sheetData>
    <row r="1">
      <c r="A1" s="6" t="inlineStr">
        <is>
          <t>№</t>
        </is>
      </c>
      <c r="B1" s="6" t="inlineStr">
        <is>
          <t>Дата</t>
        </is>
      </c>
      <c r="C1" s="6" t="inlineStr">
        <is>
          <t>Код</t>
        </is>
      </c>
      <c r="D1" s="6" t="inlineStr">
        <is>
          <t>Упражнение (авто)</t>
        </is>
      </c>
      <c r="E1" s="6" t="inlineStr">
        <is>
          <t>Группа мышц (авто)</t>
        </is>
      </c>
      <c r="F1" s="6" t="inlineStr">
        <is>
          <t>Вес, кг</t>
        </is>
      </c>
      <c r="G1" s="6" t="inlineStr">
        <is>
          <t>Подходы</t>
        </is>
      </c>
      <c r="H1" s="6" t="inlineStr">
        <is>
          <t>Повторы</t>
        </is>
      </c>
      <c r="I1" s="6" t="inlineStr">
        <is>
          <t>Тоннаж, кг (авто)</t>
        </is>
      </c>
      <c r="J1" s="6" t="inlineStr">
        <is>
          <t>Неделя (авто)</t>
        </is>
      </c>
      <c r="K1" s="6" t="inlineStr">
        <is>
          <t>Новая тренировка (авто)</t>
        </is>
      </c>
    </row>
    <row r="2">
      <c r="A2" s="9" t="n">
        <v>1</v>
      </c>
      <c r="B2" s="10" t="n">
        <v>46258</v>
      </c>
      <c r="C2" s="7" t="inlineStr">
        <is>
          <t>У1</t>
        </is>
      </c>
      <c r="D2" s="11">
        <f>IFERROR(INDEX(Упражнения!$B$2:$B$9,MATCH($C2,Упражнения!$A$2:$A$9,0)),"")</f>
        <v/>
      </c>
      <c r="E2" s="11">
        <f>IFERROR(INDEX(Упражнения!$C$2:$C$9,MATCH($C2,Упражнения!$A$2:$A$9,0)),"")</f>
        <v/>
      </c>
      <c r="F2" s="7" t="n">
        <v>60</v>
      </c>
      <c r="G2" s="7" t="n">
        <v>5</v>
      </c>
      <c r="H2" s="7" t="n">
        <v>5</v>
      </c>
      <c r="I2" s="9">
        <f>$F2*$G2*$H2</f>
        <v/>
      </c>
      <c r="J2" s="9">
        <f>INT(($B2-Модель!$B$16)/7)+1</f>
        <v/>
      </c>
      <c r="K2" s="9">
        <f>IF(COUNTIF($B$2:$B2,$B2)=1,1,0)</f>
        <v/>
      </c>
    </row>
    <row r="3">
      <c r="A3" s="9" t="n">
        <v>2</v>
      </c>
      <c r="B3" s="10" t="n">
        <v>46258</v>
      </c>
      <c r="C3" s="7" t="inlineStr">
        <is>
          <t>У2</t>
        </is>
      </c>
      <c r="D3" s="11">
        <f>IFERROR(INDEX(Упражнения!$B$2:$B$9,MATCH($C3,Упражнения!$A$2:$A$9,0)),"")</f>
        <v/>
      </c>
      <c r="E3" s="11">
        <f>IFERROR(INDEX(Упражнения!$C$2:$C$9,MATCH($C3,Упражнения!$A$2:$A$9,0)),"")</f>
        <v/>
      </c>
      <c r="F3" s="7" t="n">
        <v>45</v>
      </c>
      <c r="G3" s="7" t="n">
        <v>4</v>
      </c>
      <c r="H3" s="7" t="n">
        <v>8</v>
      </c>
      <c r="I3" s="9">
        <f>$F3*$G3*$H3</f>
        <v/>
      </c>
      <c r="J3" s="9">
        <f>INT(($B3-Модель!$B$16)/7)+1</f>
        <v/>
      </c>
      <c r="K3" s="9">
        <f>IF(COUNTIF($B$2:$B3,$B3)=1,1,0)</f>
        <v/>
      </c>
    </row>
    <row r="4">
      <c r="A4" s="9" t="n">
        <v>3</v>
      </c>
      <c r="B4" s="10" t="n">
        <v>46258</v>
      </c>
      <c r="C4" s="7" t="inlineStr">
        <is>
          <t>У6</t>
        </is>
      </c>
      <c r="D4" s="11">
        <f>IFERROR(INDEX(Упражнения!$B$2:$B$9,MATCH($C4,Упражнения!$A$2:$A$9,0)),"")</f>
        <v/>
      </c>
      <c r="E4" s="11">
        <f>IFERROR(INDEX(Упражнения!$C$2:$C$9,MATCH($C4,Упражнения!$A$2:$A$9,0)),"")</f>
        <v/>
      </c>
      <c r="F4" s="7" t="n">
        <v>25</v>
      </c>
      <c r="G4" s="7" t="n">
        <v>3</v>
      </c>
      <c r="H4" s="7" t="n">
        <v>10</v>
      </c>
      <c r="I4" s="9">
        <f>$F4*$G4*$H4</f>
        <v/>
      </c>
      <c r="J4" s="9">
        <f>INT(($B4-Модель!$B$16)/7)+1</f>
        <v/>
      </c>
      <c r="K4" s="9">
        <f>IF(COUNTIF($B$2:$B4,$B4)=1,1,0)</f>
        <v/>
      </c>
    </row>
    <row r="5">
      <c r="A5" s="9" t="n">
        <v>4</v>
      </c>
      <c r="B5" s="10" t="n">
        <v>46260</v>
      </c>
      <c r="C5" s="7" t="inlineStr">
        <is>
          <t>У3</t>
        </is>
      </c>
      <c r="D5" s="11">
        <f>IFERROR(INDEX(Упражнения!$B$2:$B$9,MATCH($C5,Упражнения!$A$2:$A$9,0)),"")</f>
        <v/>
      </c>
      <c r="E5" s="11">
        <f>IFERROR(INDEX(Упражнения!$C$2:$C$9,MATCH($C5,Упражнения!$A$2:$A$9,0)),"")</f>
        <v/>
      </c>
      <c r="F5" s="7" t="n">
        <v>70</v>
      </c>
      <c r="G5" s="7" t="n">
        <v>4</v>
      </c>
      <c r="H5" s="7" t="n">
        <v>5</v>
      </c>
      <c r="I5" s="9">
        <f>$F5*$G5*$H5</f>
        <v/>
      </c>
      <c r="J5" s="9">
        <f>INT(($B5-Модель!$B$16)/7)+1</f>
        <v/>
      </c>
      <c r="K5" s="9">
        <f>IF(COUNTIF($B$2:$B5,$B5)=1,1,0)</f>
        <v/>
      </c>
    </row>
    <row r="6">
      <c r="A6" s="9" t="n">
        <v>5</v>
      </c>
      <c r="B6" s="10" t="n">
        <v>46260</v>
      </c>
      <c r="C6" s="7" t="inlineStr">
        <is>
          <t>У4</t>
        </is>
      </c>
      <c r="D6" s="11">
        <f>IFERROR(INDEX(Упражнения!$B$2:$B$9,MATCH($C6,Упражнения!$A$2:$A$9,0)),"")</f>
        <v/>
      </c>
      <c r="E6" s="11">
        <f>IFERROR(INDEX(Упражнения!$C$2:$C$9,MATCH($C6,Упражнения!$A$2:$A$9,0)),"")</f>
        <v/>
      </c>
      <c r="F6" s="7" t="n">
        <v>40</v>
      </c>
      <c r="G6" s="7" t="n">
        <v>4</v>
      </c>
      <c r="H6" s="7" t="n">
        <v>8</v>
      </c>
      <c r="I6" s="9">
        <f>$F6*$G6*$H6</f>
        <v/>
      </c>
      <c r="J6" s="9">
        <f>INT(($B6-Модель!$B$16)/7)+1</f>
        <v/>
      </c>
      <c r="K6" s="9">
        <f>IF(COUNTIF($B$2:$B6,$B6)=1,1,0)</f>
        <v/>
      </c>
    </row>
    <row r="7">
      <c r="A7" s="9" t="n">
        <v>6</v>
      </c>
      <c r="B7" s="10" t="n">
        <v>46260</v>
      </c>
      <c r="C7" s="7" t="inlineStr">
        <is>
          <t>У7</t>
        </is>
      </c>
      <c r="D7" s="11">
        <f>IFERROR(INDEX(Упражнения!$B$2:$B$9,MATCH($C7,Упражнения!$A$2:$A$9,0)),"")</f>
        <v/>
      </c>
      <c r="E7" s="11">
        <f>IFERROR(INDEX(Упражнения!$C$2:$C$9,MATCH($C7,Упражнения!$A$2:$A$9,0)),"")</f>
        <v/>
      </c>
      <c r="F7" s="7" t="n">
        <v>22.5</v>
      </c>
      <c r="G7" s="7" t="n">
        <v>3</v>
      </c>
      <c r="H7" s="7" t="n">
        <v>10</v>
      </c>
      <c r="I7" s="9">
        <f>$F7*$G7*$H7</f>
        <v/>
      </c>
      <c r="J7" s="9">
        <f>INT(($B7-Модель!$B$16)/7)+1</f>
        <v/>
      </c>
      <c r="K7" s="9">
        <f>IF(COUNTIF($B$2:$B7,$B7)=1,1,0)</f>
        <v/>
      </c>
    </row>
    <row r="8">
      <c r="A8" s="9" t="n">
        <v>7</v>
      </c>
      <c r="B8" s="10" t="n">
        <v>46262</v>
      </c>
      <c r="C8" s="7" t="inlineStr">
        <is>
          <t>У8</t>
        </is>
      </c>
      <c r="D8" s="11">
        <f>IFERROR(INDEX(Упражнения!$B$2:$B$9,MATCH($C8,Упражнения!$A$2:$A$9,0)),"")</f>
        <v/>
      </c>
      <c r="E8" s="11">
        <f>IFERROR(INDEX(Упражнения!$C$2:$C$9,MATCH($C8,Упражнения!$A$2:$A$9,0)),"")</f>
        <v/>
      </c>
      <c r="F8" s="7" t="n">
        <v>120</v>
      </c>
      <c r="G8" s="7" t="n">
        <v>4</v>
      </c>
      <c r="H8" s="7" t="n">
        <v>10</v>
      </c>
      <c r="I8" s="9">
        <f>$F8*$G8*$H8</f>
        <v/>
      </c>
      <c r="J8" s="9">
        <f>INT(($B8-Модель!$B$16)/7)+1</f>
        <v/>
      </c>
      <c r="K8" s="9">
        <f>IF(COUNTIF($B$2:$B8,$B8)=1,1,0)</f>
        <v/>
      </c>
    </row>
    <row r="9">
      <c r="A9" s="9" t="n">
        <v>8</v>
      </c>
      <c r="B9" s="10" t="n">
        <v>46262</v>
      </c>
      <c r="C9" s="7" t="inlineStr">
        <is>
          <t>У5</t>
        </is>
      </c>
      <c r="D9" s="11">
        <f>IFERROR(INDEX(Упражнения!$B$2:$B$9,MATCH($C9,Упражнения!$A$2:$A$9,0)),"")</f>
        <v/>
      </c>
      <c r="E9" s="11">
        <f>IFERROR(INDEX(Упражнения!$C$2:$C$9,MATCH($C9,Упражнения!$A$2:$A$9,0)),"")</f>
        <v/>
      </c>
      <c r="F9" s="7" t="n">
        <v>32</v>
      </c>
      <c r="G9" s="7" t="n">
        <v>3</v>
      </c>
      <c r="H9" s="7" t="n">
        <v>10</v>
      </c>
      <c r="I9" s="9">
        <f>$F9*$G9*$H9</f>
        <v/>
      </c>
      <c r="J9" s="9">
        <f>INT(($B9-Модель!$B$16)/7)+1</f>
        <v/>
      </c>
      <c r="K9" s="9">
        <f>IF(COUNTIF($B$2:$B9,$B9)=1,1,0)</f>
        <v/>
      </c>
    </row>
    <row r="10">
      <c r="A10" s="9" t="n">
        <v>9</v>
      </c>
      <c r="B10" s="10" t="n">
        <v>46262</v>
      </c>
      <c r="C10" s="7" t="inlineStr">
        <is>
          <t>У6</t>
        </is>
      </c>
      <c r="D10" s="11">
        <f>IFERROR(INDEX(Упражнения!$B$2:$B$9,MATCH($C10,Упражнения!$A$2:$A$9,0)),"")</f>
        <v/>
      </c>
      <c r="E10" s="11">
        <f>IFERROR(INDEX(Упражнения!$C$2:$C$9,MATCH($C10,Упражнения!$A$2:$A$9,0)),"")</f>
        <v/>
      </c>
      <c r="F10" s="7" t="n">
        <v>25</v>
      </c>
      <c r="G10" s="7" t="n">
        <v>3</v>
      </c>
      <c r="H10" s="7" t="n">
        <v>10</v>
      </c>
      <c r="I10" s="9">
        <f>$F10*$G10*$H10</f>
        <v/>
      </c>
      <c r="J10" s="9">
        <f>INT(($B10-Модель!$B$16)/7)+1</f>
        <v/>
      </c>
      <c r="K10" s="9">
        <f>IF(COUNTIF($B$2:$B10,$B10)=1,1,0)</f>
        <v/>
      </c>
    </row>
    <row r="11">
      <c r="A11" s="9" t="n">
        <v>10</v>
      </c>
      <c r="B11" s="10" t="n">
        <v>46265</v>
      </c>
      <c r="C11" s="7" t="inlineStr">
        <is>
          <t>У1</t>
        </is>
      </c>
      <c r="D11" s="11">
        <f>IFERROR(INDEX(Упражнения!$B$2:$B$9,MATCH($C11,Упражнения!$A$2:$A$9,0)),"")</f>
        <v/>
      </c>
      <c r="E11" s="11">
        <f>IFERROR(INDEX(Упражнения!$C$2:$C$9,MATCH($C11,Упражнения!$A$2:$A$9,0)),"")</f>
        <v/>
      </c>
      <c r="F11" s="7" t="n">
        <v>62.5</v>
      </c>
      <c r="G11" s="7" t="n">
        <v>5</v>
      </c>
      <c r="H11" s="7" t="n">
        <v>5</v>
      </c>
      <c r="I11" s="9">
        <f>$F11*$G11*$H11</f>
        <v/>
      </c>
      <c r="J11" s="9">
        <f>INT(($B11-Модель!$B$16)/7)+1</f>
        <v/>
      </c>
      <c r="K11" s="9">
        <f>IF(COUNTIF($B$2:$B11,$B11)=1,1,0)</f>
        <v/>
      </c>
    </row>
    <row r="12">
      <c r="A12" s="9" t="n">
        <v>11</v>
      </c>
      <c r="B12" s="10" t="n">
        <v>46265</v>
      </c>
      <c r="C12" s="7" t="inlineStr">
        <is>
          <t>У2</t>
        </is>
      </c>
      <c r="D12" s="11">
        <f>IFERROR(INDEX(Упражнения!$B$2:$B$9,MATCH($C12,Упражнения!$A$2:$A$9,0)),"")</f>
        <v/>
      </c>
      <c r="E12" s="11">
        <f>IFERROR(INDEX(Упражнения!$C$2:$C$9,MATCH($C12,Упражнения!$A$2:$A$9,0)),"")</f>
        <v/>
      </c>
      <c r="F12" s="7" t="n">
        <v>47.5</v>
      </c>
      <c r="G12" s="7" t="n">
        <v>4</v>
      </c>
      <c r="H12" s="7" t="n">
        <v>8</v>
      </c>
      <c r="I12" s="9">
        <f>$F12*$G12*$H12</f>
        <v/>
      </c>
      <c r="J12" s="9">
        <f>INT(($B12-Модель!$B$16)/7)+1</f>
        <v/>
      </c>
      <c r="K12" s="9">
        <f>IF(COUNTIF($B$2:$B12,$B12)=1,1,0)</f>
        <v/>
      </c>
    </row>
    <row r="13">
      <c r="A13" s="9" t="n">
        <v>12</v>
      </c>
      <c r="B13" s="10" t="n">
        <v>46265</v>
      </c>
      <c r="C13" s="7" t="inlineStr">
        <is>
          <t>У6</t>
        </is>
      </c>
      <c r="D13" s="11">
        <f>IFERROR(INDEX(Упражнения!$B$2:$B$9,MATCH($C13,Упражнения!$A$2:$A$9,0)),"")</f>
        <v/>
      </c>
      <c r="E13" s="11">
        <f>IFERROR(INDEX(Упражнения!$C$2:$C$9,MATCH($C13,Упражнения!$A$2:$A$9,0)),"")</f>
        <v/>
      </c>
      <c r="F13" s="7" t="n">
        <v>26.2</v>
      </c>
      <c r="G13" s="7" t="n">
        <v>3</v>
      </c>
      <c r="H13" s="7" t="n">
        <v>10</v>
      </c>
      <c r="I13" s="9">
        <f>$F13*$G13*$H13</f>
        <v/>
      </c>
      <c r="J13" s="9">
        <f>INT(($B13-Модель!$B$16)/7)+1</f>
        <v/>
      </c>
      <c r="K13" s="9">
        <f>IF(COUNTIF($B$2:$B13,$B13)=1,1,0)</f>
        <v/>
      </c>
    </row>
    <row r="14">
      <c r="A14" s="9" t="n">
        <v>13</v>
      </c>
      <c r="B14" s="10" t="n">
        <v>46267</v>
      </c>
      <c r="C14" s="7" t="inlineStr">
        <is>
          <t>У3</t>
        </is>
      </c>
      <c r="D14" s="11">
        <f>IFERROR(INDEX(Упражнения!$B$2:$B$9,MATCH($C14,Упражнения!$A$2:$A$9,0)),"")</f>
        <v/>
      </c>
      <c r="E14" s="11">
        <f>IFERROR(INDEX(Упражнения!$C$2:$C$9,MATCH($C14,Упражнения!$A$2:$A$9,0)),"")</f>
        <v/>
      </c>
      <c r="F14" s="7" t="n">
        <v>75</v>
      </c>
      <c r="G14" s="7" t="n">
        <v>4</v>
      </c>
      <c r="H14" s="7" t="n">
        <v>5</v>
      </c>
      <c r="I14" s="9">
        <f>$F14*$G14*$H14</f>
        <v/>
      </c>
      <c r="J14" s="9">
        <f>INT(($B14-Модель!$B$16)/7)+1</f>
        <v/>
      </c>
      <c r="K14" s="9">
        <f>IF(COUNTIF($B$2:$B14,$B14)=1,1,0)</f>
        <v/>
      </c>
    </row>
    <row r="15">
      <c r="A15" s="9" t="n">
        <v>14</v>
      </c>
      <c r="B15" s="10" t="n">
        <v>46267</v>
      </c>
      <c r="C15" s="7" t="inlineStr">
        <is>
          <t>У4</t>
        </is>
      </c>
      <c r="D15" s="11">
        <f>IFERROR(INDEX(Упражнения!$B$2:$B$9,MATCH($C15,Упражнения!$A$2:$A$9,0)),"")</f>
        <v/>
      </c>
      <c r="E15" s="11">
        <f>IFERROR(INDEX(Упражнения!$C$2:$C$9,MATCH($C15,Упражнения!$A$2:$A$9,0)),"")</f>
        <v/>
      </c>
      <c r="F15" s="7" t="n">
        <v>42.5</v>
      </c>
      <c r="G15" s="7" t="n">
        <v>4</v>
      </c>
      <c r="H15" s="7" t="n">
        <v>8</v>
      </c>
      <c r="I15" s="9">
        <f>$F15*$G15*$H15</f>
        <v/>
      </c>
      <c r="J15" s="9">
        <f>INT(($B15-Модель!$B$16)/7)+1</f>
        <v/>
      </c>
      <c r="K15" s="9">
        <f>IF(COUNTIF($B$2:$B15,$B15)=1,1,0)</f>
        <v/>
      </c>
    </row>
    <row r="16">
      <c r="A16" s="9" t="n">
        <v>15</v>
      </c>
      <c r="B16" s="10" t="n">
        <v>46267</v>
      </c>
      <c r="C16" s="7" t="inlineStr">
        <is>
          <t>У7</t>
        </is>
      </c>
      <c r="D16" s="11">
        <f>IFERROR(INDEX(Упражнения!$B$2:$B$9,MATCH($C16,Упражнения!$A$2:$A$9,0)),"")</f>
        <v/>
      </c>
      <c r="E16" s="11">
        <f>IFERROR(INDEX(Упражнения!$C$2:$C$9,MATCH($C16,Упражнения!$A$2:$A$9,0)),"")</f>
        <v/>
      </c>
      <c r="F16" s="7" t="n">
        <v>23.8</v>
      </c>
      <c r="G16" s="7" t="n">
        <v>3</v>
      </c>
      <c r="H16" s="7" t="n">
        <v>10</v>
      </c>
      <c r="I16" s="9">
        <f>$F16*$G16*$H16</f>
        <v/>
      </c>
      <c r="J16" s="9">
        <f>INT(($B16-Модель!$B$16)/7)+1</f>
        <v/>
      </c>
      <c r="K16" s="9">
        <f>IF(COUNTIF($B$2:$B16,$B16)=1,1,0)</f>
        <v/>
      </c>
    </row>
    <row r="17">
      <c r="A17" s="9" t="n">
        <v>16</v>
      </c>
      <c r="B17" s="10" t="n">
        <v>46269</v>
      </c>
      <c r="C17" s="7" t="inlineStr">
        <is>
          <t>У8</t>
        </is>
      </c>
      <c r="D17" s="11">
        <f>IFERROR(INDEX(Упражнения!$B$2:$B$9,MATCH($C17,Упражнения!$A$2:$A$9,0)),"")</f>
        <v/>
      </c>
      <c r="E17" s="11">
        <f>IFERROR(INDEX(Упражнения!$C$2:$C$9,MATCH($C17,Упражнения!$A$2:$A$9,0)),"")</f>
        <v/>
      </c>
      <c r="F17" s="7" t="n">
        <v>130</v>
      </c>
      <c r="G17" s="7" t="n">
        <v>4</v>
      </c>
      <c r="H17" s="7" t="n">
        <v>10</v>
      </c>
      <c r="I17" s="9">
        <f>$F17*$G17*$H17</f>
        <v/>
      </c>
      <c r="J17" s="9">
        <f>INT(($B17-Модель!$B$16)/7)+1</f>
        <v/>
      </c>
      <c r="K17" s="9">
        <f>IF(COUNTIF($B$2:$B17,$B17)=1,1,0)</f>
        <v/>
      </c>
    </row>
    <row r="18">
      <c r="A18" s="9" t="n">
        <v>17</v>
      </c>
      <c r="B18" s="10" t="n">
        <v>46269</v>
      </c>
      <c r="C18" s="7" t="inlineStr">
        <is>
          <t>У5</t>
        </is>
      </c>
      <c r="D18" s="11">
        <f>IFERROR(INDEX(Упражнения!$B$2:$B$9,MATCH($C18,Упражнения!$A$2:$A$9,0)),"")</f>
        <v/>
      </c>
      <c r="E18" s="11">
        <f>IFERROR(INDEX(Упражнения!$C$2:$C$9,MATCH($C18,Упражнения!$A$2:$A$9,0)),"")</f>
        <v/>
      </c>
      <c r="F18" s="7" t="n">
        <v>34</v>
      </c>
      <c r="G18" s="7" t="n">
        <v>3</v>
      </c>
      <c r="H18" s="7" t="n">
        <v>10</v>
      </c>
      <c r="I18" s="9">
        <f>$F18*$G18*$H18</f>
        <v/>
      </c>
      <c r="J18" s="9">
        <f>INT(($B18-Модель!$B$16)/7)+1</f>
        <v/>
      </c>
      <c r="K18" s="9">
        <f>IF(COUNTIF($B$2:$B18,$B18)=1,1,0)</f>
        <v/>
      </c>
    </row>
    <row r="19">
      <c r="A19" s="9" t="n">
        <v>18</v>
      </c>
      <c r="B19" s="10" t="n">
        <v>46269</v>
      </c>
      <c r="C19" s="7" t="inlineStr">
        <is>
          <t>У6</t>
        </is>
      </c>
      <c r="D19" s="11">
        <f>IFERROR(INDEX(Упражнения!$B$2:$B$9,MATCH($C19,Упражнения!$A$2:$A$9,0)),"")</f>
        <v/>
      </c>
      <c r="E19" s="11">
        <f>IFERROR(INDEX(Упражнения!$C$2:$C$9,MATCH($C19,Упражнения!$A$2:$A$9,0)),"")</f>
        <v/>
      </c>
      <c r="F19" s="7" t="n">
        <v>26.2</v>
      </c>
      <c r="G19" s="7" t="n">
        <v>3</v>
      </c>
      <c r="H19" s="7" t="n">
        <v>10</v>
      </c>
      <c r="I19" s="9">
        <f>$F19*$G19*$H19</f>
        <v/>
      </c>
      <c r="J19" s="9">
        <f>INT(($B19-Модель!$B$16)/7)+1</f>
        <v/>
      </c>
      <c r="K19" s="9">
        <f>IF(COUNTIF($B$2:$B19,$B19)=1,1,0)</f>
        <v/>
      </c>
    </row>
    <row r="20">
      <c r="A20" s="9" t="n">
        <v>19</v>
      </c>
      <c r="B20" s="10" t="n">
        <v>46272</v>
      </c>
      <c r="C20" s="7" t="inlineStr">
        <is>
          <t>У1</t>
        </is>
      </c>
      <c r="D20" s="11">
        <f>IFERROR(INDEX(Упражнения!$B$2:$B$9,MATCH($C20,Упражнения!$A$2:$A$9,0)),"")</f>
        <v/>
      </c>
      <c r="E20" s="11">
        <f>IFERROR(INDEX(Упражнения!$C$2:$C$9,MATCH($C20,Упражнения!$A$2:$A$9,0)),"")</f>
        <v/>
      </c>
      <c r="F20" s="7" t="n">
        <v>65</v>
      </c>
      <c r="G20" s="7" t="n">
        <v>5</v>
      </c>
      <c r="H20" s="7" t="n">
        <v>5</v>
      </c>
      <c r="I20" s="9">
        <f>$F20*$G20*$H20</f>
        <v/>
      </c>
      <c r="J20" s="9">
        <f>INT(($B20-Модель!$B$16)/7)+1</f>
        <v/>
      </c>
      <c r="K20" s="9">
        <f>IF(COUNTIF($B$2:$B20,$B20)=1,1,0)</f>
        <v/>
      </c>
    </row>
    <row r="21">
      <c r="A21" s="9" t="n">
        <v>20</v>
      </c>
      <c r="B21" s="10" t="n">
        <v>46272</v>
      </c>
      <c r="C21" s="7" t="inlineStr">
        <is>
          <t>У2</t>
        </is>
      </c>
      <c r="D21" s="11">
        <f>IFERROR(INDEX(Упражнения!$B$2:$B$9,MATCH($C21,Упражнения!$A$2:$A$9,0)),"")</f>
        <v/>
      </c>
      <c r="E21" s="11">
        <f>IFERROR(INDEX(Упражнения!$C$2:$C$9,MATCH($C21,Упражнения!$A$2:$A$9,0)),"")</f>
        <v/>
      </c>
      <c r="F21" s="7" t="n">
        <v>50</v>
      </c>
      <c r="G21" s="7" t="n">
        <v>4</v>
      </c>
      <c r="H21" s="7" t="n">
        <v>8</v>
      </c>
      <c r="I21" s="9">
        <f>$F21*$G21*$H21</f>
        <v/>
      </c>
      <c r="J21" s="9">
        <f>INT(($B21-Модель!$B$16)/7)+1</f>
        <v/>
      </c>
      <c r="K21" s="9">
        <f>IF(COUNTIF($B$2:$B21,$B21)=1,1,0)</f>
        <v/>
      </c>
    </row>
    <row r="22">
      <c r="A22" s="9" t="n">
        <v>21</v>
      </c>
      <c r="B22" s="10" t="n">
        <v>46272</v>
      </c>
      <c r="C22" s="7" t="inlineStr">
        <is>
          <t>У6</t>
        </is>
      </c>
      <c r="D22" s="11">
        <f>IFERROR(INDEX(Упражнения!$B$2:$B$9,MATCH($C22,Упражнения!$A$2:$A$9,0)),"")</f>
        <v/>
      </c>
      <c r="E22" s="11">
        <f>IFERROR(INDEX(Упражнения!$C$2:$C$9,MATCH($C22,Упражнения!$A$2:$A$9,0)),"")</f>
        <v/>
      </c>
      <c r="F22" s="7" t="n">
        <v>27.5</v>
      </c>
      <c r="G22" s="7" t="n">
        <v>3</v>
      </c>
      <c r="H22" s="7" t="n">
        <v>10</v>
      </c>
      <c r="I22" s="9">
        <f>$F22*$G22*$H22</f>
        <v/>
      </c>
      <c r="J22" s="9">
        <f>INT(($B22-Модель!$B$16)/7)+1</f>
        <v/>
      </c>
      <c r="K22" s="9">
        <f>IF(COUNTIF($B$2:$B22,$B22)=1,1,0)</f>
        <v/>
      </c>
    </row>
    <row r="23">
      <c r="A23" s="9" t="n">
        <v>22</v>
      </c>
      <c r="B23" s="10" t="n">
        <v>46274</v>
      </c>
      <c r="C23" s="7" t="inlineStr">
        <is>
          <t>У3</t>
        </is>
      </c>
      <c r="D23" s="11">
        <f>IFERROR(INDEX(Упражнения!$B$2:$B$9,MATCH($C23,Упражнения!$A$2:$A$9,0)),"")</f>
        <v/>
      </c>
      <c r="E23" s="11">
        <f>IFERROR(INDEX(Упражнения!$C$2:$C$9,MATCH($C23,Упражнения!$A$2:$A$9,0)),"")</f>
        <v/>
      </c>
      <c r="F23" s="7" t="n">
        <v>80</v>
      </c>
      <c r="G23" s="7" t="n">
        <v>4</v>
      </c>
      <c r="H23" s="7" t="n">
        <v>5</v>
      </c>
      <c r="I23" s="9">
        <f>$F23*$G23*$H23</f>
        <v/>
      </c>
      <c r="J23" s="9">
        <f>INT(($B23-Модель!$B$16)/7)+1</f>
        <v/>
      </c>
      <c r="K23" s="9">
        <f>IF(COUNTIF($B$2:$B23,$B23)=1,1,0)</f>
        <v/>
      </c>
    </row>
    <row r="24">
      <c r="A24" s="9" t="n">
        <v>23</v>
      </c>
      <c r="B24" s="10" t="n">
        <v>46274</v>
      </c>
      <c r="C24" s="7" t="inlineStr">
        <is>
          <t>У4</t>
        </is>
      </c>
      <c r="D24" s="11">
        <f>IFERROR(INDEX(Упражнения!$B$2:$B$9,MATCH($C24,Упражнения!$A$2:$A$9,0)),"")</f>
        <v/>
      </c>
      <c r="E24" s="11">
        <f>IFERROR(INDEX(Упражнения!$C$2:$C$9,MATCH($C24,Упражнения!$A$2:$A$9,0)),"")</f>
        <v/>
      </c>
      <c r="F24" s="7" t="n">
        <v>45</v>
      </c>
      <c r="G24" s="7" t="n">
        <v>4</v>
      </c>
      <c r="H24" s="7" t="n">
        <v>8</v>
      </c>
      <c r="I24" s="9">
        <f>$F24*$G24*$H24</f>
        <v/>
      </c>
      <c r="J24" s="9">
        <f>INT(($B24-Модель!$B$16)/7)+1</f>
        <v/>
      </c>
      <c r="K24" s="9">
        <f>IF(COUNTIF($B$2:$B24,$B24)=1,1,0)</f>
        <v/>
      </c>
    </row>
    <row r="25">
      <c r="A25" s="9" t="n">
        <v>24</v>
      </c>
      <c r="B25" s="10" t="n">
        <v>46274</v>
      </c>
      <c r="C25" s="7" t="inlineStr">
        <is>
          <t>У7</t>
        </is>
      </c>
      <c r="D25" s="11">
        <f>IFERROR(INDEX(Упражнения!$B$2:$B$9,MATCH($C25,Упражнения!$A$2:$A$9,0)),"")</f>
        <v/>
      </c>
      <c r="E25" s="11">
        <f>IFERROR(INDEX(Упражнения!$C$2:$C$9,MATCH($C25,Упражнения!$A$2:$A$9,0)),"")</f>
        <v/>
      </c>
      <c r="F25" s="7" t="n">
        <v>25</v>
      </c>
      <c r="G25" s="7" t="n">
        <v>3</v>
      </c>
      <c r="H25" s="7" t="n">
        <v>10</v>
      </c>
      <c r="I25" s="9">
        <f>$F25*$G25*$H25</f>
        <v/>
      </c>
      <c r="J25" s="9">
        <f>INT(($B25-Модель!$B$16)/7)+1</f>
        <v/>
      </c>
      <c r="K25" s="9">
        <f>IF(COUNTIF($B$2:$B25,$B25)=1,1,0)</f>
        <v/>
      </c>
    </row>
    <row r="26">
      <c r="A26" s="9" t="n">
        <v>25</v>
      </c>
      <c r="B26" s="10" t="n">
        <v>46276</v>
      </c>
      <c r="C26" s="7" t="inlineStr">
        <is>
          <t>У8</t>
        </is>
      </c>
      <c r="D26" s="11">
        <f>IFERROR(INDEX(Упражнения!$B$2:$B$9,MATCH($C26,Упражнения!$A$2:$A$9,0)),"")</f>
        <v/>
      </c>
      <c r="E26" s="11">
        <f>IFERROR(INDEX(Упражнения!$C$2:$C$9,MATCH($C26,Упражнения!$A$2:$A$9,0)),"")</f>
        <v/>
      </c>
      <c r="F26" s="7" t="n">
        <v>140</v>
      </c>
      <c r="G26" s="7" t="n">
        <v>4</v>
      </c>
      <c r="H26" s="7" t="n">
        <v>10</v>
      </c>
      <c r="I26" s="9">
        <f>$F26*$G26*$H26</f>
        <v/>
      </c>
      <c r="J26" s="9">
        <f>INT(($B26-Модель!$B$16)/7)+1</f>
        <v/>
      </c>
      <c r="K26" s="9">
        <f>IF(COUNTIF($B$2:$B26,$B26)=1,1,0)</f>
        <v/>
      </c>
    </row>
    <row r="27">
      <c r="A27" s="9" t="n">
        <v>26</v>
      </c>
      <c r="B27" s="10" t="n">
        <v>46276</v>
      </c>
      <c r="C27" s="7" t="inlineStr">
        <is>
          <t>У5</t>
        </is>
      </c>
      <c r="D27" s="11">
        <f>IFERROR(INDEX(Упражнения!$B$2:$B$9,MATCH($C27,Упражнения!$A$2:$A$9,0)),"")</f>
        <v/>
      </c>
      <c r="E27" s="11">
        <f>IFERROR(INDEX(Упражнения!$C$2:$C$9,MATCH($C27,Упражнения!$A$2:$A$9,0)),"")</f>
        <v/>
      </c>
      <c r="F27" s="7" t="n">
        <v>36</v>
      </c>
      <c r="G27" s="7" t="n">
        <v>3</v>
      </c>
      <c r="H27" s="7" t="n">
        <v>10</v>
      </c>
      <c r="I27" s="9">
        <f>$F27*$G27*$H27</f>
        <v/>
      </c>
      <c r="J27" s="9">
        <f>INT(($B27-Модель!$B$16)/7)+1</f>
        <v/>
      </c>
      <c r="K27" s="9">
        <f>IF(COUNTIF($B$2:$B27,$B27)=1,1,0)</f>
        <v/>
      </c>
    </row>
    <row r="28">
      <c r="A28" s="9" t="n">
        <v>27</v>
      </c>
      <c r="B28" s="10" t="n">
        <v>46276</v>
      </c>
      <c r="C28" s="7" t="inlineStr">
        <is>
          <t>У6</t>
        </is>
      </c>
      <c r="D28" s="11">
        <f>IFERROR(INDEX(Упражнения!$B$2:$B$9,MATCH($C28,Упражнения!$A$2:$A$9,0)),"")</f>
        <v/>
      </c>
      <c r="E28" s="11">
        <f>IFERROR(INDEX(Упражнения!$C$2:$C$9,MATCH($C28,Упражнения!$A$2:$A$9,0)),"")</f>
        <v/>
      </c>
      <c r="F28" s="7" t="n">
        <v>27.5</v>
      </c>
      <c r="G28" s="7" t="n">
        <v>3</v>
      </c>
      <c r="H28" s="7" t="n">
        <v>10</v>
      </c>
      <c r="I28" s="9">
        <f>$F28*$G28*$H28</f>
        <v/>
      </c>
      <c r="J28" s="9">
        <f>INT(($B28-Модель!$B$16)/7)+1</f>
        <v/>
      </c>
      <c r="K28" s="9">
        <f>IF(COUNTIF($B$2:$B28,$B28)=1,1,0)</f>
        <v/>
      </c>
    </row>
    <row r="29">
      <c r="A29" s="9" t="n">
        <v>28</v>
      </c>
      <c r="B29" s="10" t="n">
        <v>46279</v>
      </c>
      <c r="C29" s="7" t="inlineStr">
        <is>
          <t>У1</t>
        </is>
      </c>
      <c r="D29" s="11">
        <f>IFERROR(INDEX(Упражнения!$B$2:$B$9,MATCH($C29,Упражнения!$A$2:$A$9,0)),"")</f>
        <v/>
      </c>
      <c r="E29" s="11">
        <f>IFERROR(INDEX(Упражнения!$C$2:$C$9,MATCH($C29,Упражнения!$A$2:$A$9,0)),"")</f>
        <v/>
      </c>
      <c r="F29" s="7" t="n">
        <v>67.5</v>
      </c>
      <c r="G29" s="7" t="n">
        <v>5</v>
      </c>
      <c r="H29" s="7" t="n">
        <v>5</v>
      </c>
      <c r="I29" s="9">
        <f>$F29*$G29*$H29</f>
        <v/>
      </c>
      <c r="J29" s="9">
        <f>INT(($B29-Модель!$B$16)/7)+1</f>
        <v/>
      </c>
      <c r="K29" s="9">
        <f>IF(COUNTIF($B$2:$B29,$B29)=1,1,0)</f>
        <v/>
      </c>
    </row>
    <row r="30">
      <c r="A30" s="9" t="n">
        <v>29</v>
      </c>
      <c r="B30" s="10" t="n">
        <v>46279</v>
      </c>
      <c r="C30" s="7" t="inlineStr">
        <is>
          <t>У2</t>
        </is>
      </c>
      <c r="D30" s="11">
        <f>IFERROR(INDEX(Упражнения!$B$2:$B$9,MATCH($C30,Упражнения!$A$2:$A$9,0)),"")</f>
        <v/>
      </c>
      <c r="E30" s="11">
        <f>IFERROR(INDEX(Упражнения!$C$2:$C$9,MATCH($C30,Упражнения!$A$2:$A$9,0)),"")</f>
        <v/>
      </c>
      <c r="F30" s="7" t="n">
        <v>52.5</v>
      </c>
      <c r="G30" s="7" t="n">
        <v>4</v>
      </c>
      <c r="H30" s="7" t="n">
        <v>8</v>
      </c>
      <c r="I30" s="9">
        <f>$F30*$G30*$H30</f>
        <v/>
      </c>
      <c r="J30" s="9">
        <f>INT(($B30-Модель!$B$16)/7)+1</f>
        <v/>
      </c>
      <c r="K30" s="9">
        <f>IF(COUNTIF($B$2:$B30,$B30)=1,1,0)</f>
        <v/>
      </c>
    </row>
    <row r="31">
      <c r="A31" s="9" t="n">
        <v>30</v>
      </c>
      <c r="B31" s="10" t="n">
        <v>46279</v>
      </c>
      <c r="C31" s="7" t="inlineStr">
        <is>
          <t>У6</t>
        </is>
      </c>
      <c r="D31" s="11">
        <f>IFERROR(INDEX(Упражнения!$B$2:$B$9,MATCH($C31,Упражнения!$A$2:$A$9,0)),"")</f>
        <v/>
      </c>
      <c r="E31" s="11">
        <f>IFERROR(INDEX(Упражнения!$C$2:$C$9,MATCH($C31,Упражнения!$A$2:$A$9,0)),"")</f>
        <v/>
      </c>
      <c r="F31" s="7" t="n">
        <v>28.8</v>
      </c>
      <c r="G31" s="7" t="n">
        <v>3</v>
      </c>
      <c r="H31" s="7" t="n">
        <v>10</v>
      </c>
      <c r="I31" s="9">
        <f>$F31*$G31*$H31</f>
        <v/>
      </c>
      <c r="J31" s="9">
        <f>INT(($B31-Модель!$B$16)/7)+1</f>
        <v/>
      </c>
      <c r="K31" s="9">
        <f>IF(COUNTIF($B$2:$B31,$B31)=1,1,0)</f>
        <v/>
      </c>
    </row>
    <row r="32">
      <c r="A32" s="9" t="n">
        <v>31</v>
      </c>
      <c r="B32" s="10" t="n">
        <v>46281</v>
      </c>
      <c r="C32" s="7" t="inlineStr">
        <is>
          <t>У3</t>
        </is>
      </c>
      <c r="D32" s="11">
        <f>IFERROR(INDEX(Упражнения!$B$2:$B$9,MATCH($C32,Упражнения!$A$2:$A$9,0)),"")</f>
        <v/>
      </c>
      <c r="E32" s="11">
        <f>IFERROR(INDEX(Упражнения!$C$2:$C$9,MATCH($C32,Упражнения!$A$2:$A$9,0)),"")</f>
        <v/>
      </c>
      <c r="F32" s="7" t="n">
        <v>85</v>
      </c>
      <c r="G32" s="7" t="n">
        <v>4</v>
      </c>
      <c r="H32" s="7" t="n">
        <v>5</v>
      </c>
      <c r="I32" s="9">
        <f>$F32*$G32*$H32</f>
        <v/>
      </c>
      <c r="J32" s="9">
        <f>INT(($B32-Модель!$B$16)/7)+1</f>
        <v/>
      </c>
      <c r="K32" s="9">
        <f>IF(COUNTIF($B$2:$B32,$B32)=1,1,0)</f>
        <v/>
      </c>
    </row>
    <row r="33">
      <c r="A33" s="9" t="n">
        <v>32</v>
      </c>
      <c r="B33" s="10" t="n">
        <v>46281</v>
      </c>
      <c r="C33" s="7" t="inlineStr">
        <is>
          <t>У4</t>
        </is>
      </c>
      <c r="D33" s="11">
        <f>IFERROR(INDEX(Упражнения!$B$2:$B$9,MATCH($C33,Упражнения!$A$2:$A$9,0)),"")</f>
        <v/>
      </c>
      <c r="E33" s="11">
        <f>IFERROR(INDEX(Упражнения!$C$2:$C$9,MATCH($C33,Упражнения!$A$2:$A$9,0)),"")</f>
        <v/>
      </c>
      <c r="F33" s="7" t="n">
        <v>47.5</v>
      </c>
      <c r="G33" s="7" t="n">
        <v>4</v>
      </c>
      <c r="H33" s="7" t="n">
        <v>8</v>
      </c>
      <c r="I33" s="9">
        <f>$F33*$G33*$H33</f>
        <v/>
      </c>
      <c r="J33" s="9">
        <f>INT(($B33-Модель!$B$16)/7)+1</f>
        <v/>
      </c>
      <c r="K33" s="9">
        <f>IF(COUNTIF($B$2:$B33,$B33)=1,1,0)</f>
        <v/>
      </c>
    </row>
    <row r="34">
      <c r="A34" s="9" t="n">
        <v>33</v>
      </c>
      <c r="B34" s="10" t="n">
        <v>46281</v>
      </c>
      <c r="C34" s="7" t="inlineStr">
        <is>
          <t>У7</t>
        </is>
      </c>
      <c r="D34" s="11">
        <f>IFERROR(INDEX(Упражнения!$B$2:$B$9,MATCH($C34,Упражнения!$A$2:$A$9,0)),"")</f>
        <v/>
      </c>
      <c r="E34" s="11">
        <f>IFERROR(INDEX(Упражнения!$C$2:$C$9,MATCH($C34,Упражнения!$A$2:$A$9,0)),"")</f>
        <v/>
      </c>
      <c r="F34" s="7" t="n">
        <v>26.2</v>
      </c>
      <c r="G34" s="7" t="n">
        <v>3</v>
      </c>
      <c r="H34" s="7" t="n">
        <v>10</v>
      </c>
      <c r="I34" s="9">
        <f>$F34*$G34*$H34</f>
        <v/>
      </c>
      <c r="J34" s="9">
        <f>INT(($B34-Модель!$B$16)/7)+1</f>
        <v/>
      </c>
      <c r="K34" s="9">
        <f>IF(COUNTIF($B$2:$B34,$B34)=1,1,0)</f>
        <v/>
      </c>
    </row>
    <row r="35">
      <c r="A35" s="9" t="n">
        <v>34</v>
      </c>
      <c r="B35" s="10" t="n">
        <v>46283</v>
      </c>
      <c r="C35" s="7" t="inlineStr">
        <is>
          <t>У8</t>
        </is>
      </c>
      <c r="D35" s="11">
        <f>IFERROR(INDEX(Упражнения!$B$2:$B$9,MATCH($C35,Упражнения!$A$2:$A$9,0)),"")</f>
        <v/>
      </c>
      <c r="E35" s="11">
        <f>IFERROR(INDEX(Упражнения!$C$2:$C$9,MATCH($C35,Упражнения!$A$2:$A$9,0)),"")</f>
        <v/>
      </c>
      <c r="F35" s="7" t="n">
        <v>150</v>
      </c>
      <c r="G35" s="7" t="n">
        <v>4</v>
      </c>
      <c r="H35" s="7" t="n">
        <v>10</v>
      </c>
      <c r="I35" s="9">
        <f>$F35*$G35*$H35</f>
        <v/>
      </c>
      <c r="J35" s="9">
        <f>INT(($B35-Модель!$B$16)/7)+1</f>
        <v/>
      </c>
      <c r="K35" s="9">
        <f>IF(COUNTIF($B$2:$B35,$B35)=1,1,0)</f>
        <v/>
      </c>
    </row>
    <row r="36">
      <c r="A36" s="9" t="n">
        <v>35</v>
      </c>
      <c r="B36" s="10" t="n">
        <v>46283</v>
      </c>
      <c r="C36" s="7" t="inlineStr">
        <is>
          <t>У5</t>
        </is>
      </c>
      <c r="D36" s="11">
        <f>IFERROR(INDEX(Упражнения!$B$2:$B$9,MATCH($C36,Упражнения!$A$2:$A$9,0)),"")</f>
        <v/>
      </c>
      <c r="E36" s="11">
        <f>IFERROR(INDEX(Упражнения!$C$2:$C$9,MATCH($C36,Упражнения!$A$2:$A$9,0)),"")</f>
        <v/>
      </c>
      <c r="F36" s="7" t="n">
        <v>38</v>
      </c>
      <c r="G36" s="7" t="n">
        <v>3</v>
      </c>
      <c r="H36" s="7" t="n">
        <v>10</v>
      </c>
      <c r="I36" s="9">
        <f>$F36*$G36*$H36</f>
        <v/>
      </c>
      <c r="J36" s="9">
        <f>INT(($B36-Модель!$B$16)/7)+1</f>
        <v/>
      </c>
      <c r="K36" s="9">
        <f>IF(COUNTIF($B$2:$B36,$B36)=1,1,0)</f>
        <v/>
      </c>
    </row>
    <row r="37">
      <c r="A37" s="9" t="n">
        <v>36</v>
      </c>
      <c r="B37" s="10" t="n">
        <v>46283</v>
      </c>
      <c r="C37" s="7" t="inlineStr">
        <is>
          <t>У6</t>
        </is>
      </c>
      <c r="D37" s="11">
        <f>IFERROR(INDEX(Упражнения!$B$2:$B$9,MATCH($C37,Упражнения!$A$2:$A$9,0)),"")</f>
        <v/>
      </c>
      <c r="E37" s="11">
        <f>IFERROR(INDEX(Упражнения!$C$2:$C$9,MATCH($C37,Упражнения!$A$2:$A$9,0)),"")</f>
        <v/>
      </c>
      <c r="F37" s="7" t="n">
        <v>28.8</v>
      </c>
      <c r="G37" s="7" t="n">
        <v>3</v>
      </c>
      <c r="H37" s="7" t="n">
        <v>10</v>
      </c>
      <c r="I37" s="9">
        <f>$F37*$G37*$H37</f>
        <v/>
      </c>
      <c r="J37" s="9">
        <f>INT(($B37-Модель!$B$16)/7)+1</f>
        <v/>
      </c>
      <c r="K37" s="9">
        <f>IF(COUNTIF($B$2:$B37,$B37)=1,1,0)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</cols>
  <sheetData>
    <row r="1">
      <c r="A1" s="1" t="inlineStr">
        <is>
          <t>Результаты</t>
        </is>
      </c>
    </row>
    <row r="2"/>
    <row r="3">
      <c r="A3" s="2" t="inlineStr">
        <is>
          <t>Тренировок проведено</t>
        </is>
      </c>
      <c r="B3" s="12">
        <f>SUM(Тренировки!$K$2:$K$37)</f>
        <v/>
      </c>
    </row>
    <row r="4">
      <c r="A4" s="2" t="inlineStr">
        <is>
          <t>Общий тоннаж, кг</t>
        </is>
      </c>
      <c r="B4" s="12">
        <f>SUM(Тренировки!$I$2:$I$37)</f>
        <v/>
      </c>
    </row>
    <row r="5">
      <c r="A5" s="2" t="inlineStr">
        <is>
          <t>Средний тоннаж за тренировку, кг</t>
        </is>
      </c>
      <c r="B5" s="12">
        <f>ROUND(SUM(Тренировки!$I$2:$I$37)/SUM(Тренировки!$K$2:$K$37),0)</f>
        <v/>
      </c>
    </row>
    <row r="6">
      <c r="A6" s="2" t="inlineStr">
        <is>
          <t>Всего подходов</t>
        </is>
      </c>
      <c r="B6" s="12">
        <f>SUM(Тренировки!$G$2:$G$37)</f>
        <v/>
      </c>
    </row>
    <row r="7"/>
    <row r="8">
      <c r="A8" s="3" t="inlineStr">
        <is>
          <t>Нагрузка по группам мышц</t>
        </is>
      </c>
    </row>
    <row r="9">
      <c r="A9" s="6" t="inlineStr">
        <is>
          <t>Группа мышц</t>
        </is>
      </c>
      <c r="B9" s="6" t="inlineStr">
        <is>
          <t>Подходов</t>
        </is>
      </c>
      <c r="C9" s="6" t="inlineStr">
        <is>
          <t>Тоннаж, кг</t>
        </is>
      </c>
    </row>
    <row r="10">
      <c r="A10" s="8" t="inlineStr">
        <is>
          <t>Ноги</t>
        </is>
      </c>
      <c r="B10" s="9">
        <f>SUMIF(Тренировки!$E$2:$E$37,$A10,Тренировки!$G$2:$G$37)</f>
        <v/>
      </c>
      <c r="C10" s="12">
        <f>SUMIF(Тренировки!$E$2:$E$37,$A10,Тренировки!$I$2:$I$37)</f>
        <v/>
      </c>
    </row>
    <row r="11">
      <c r="A11" s="8" t="inlineStr">
        <is>
          <t>Грудь</t>
        </is>
      </c>
      <c r="B11" s="9">
        <f>SUMIF(Тренировки!$E$2:$E$37,$A11,Тренировки!$G$2:$G$37)</f>
        <v/>
      </c>
      <c r="C11" s="12">
        <f>SUMIF(Тренировки!$E$2:$E$37,$A11,Тренировки!$I$2:$I$37)</f>
        <v/>
      </c>
    </row>
    <row r="12">
      <c r="A12" s="8" t="inlineStr">
        <is>
          <t>Спина</t>
        </is>
      </c>
      <c r="B12" s="9">
        <f>SUMIF(Тренировки!$E$2:$E$37,$A12,Тренировки!$G$2:$G$37)</f>
        <v/>
      </c>
      <c r="C12" s="12">
        <f>SUMIF(Тренировки!$E$2:$E$37,$A12,Тренировки!$I$2:$I$37)</f>
        <v/>
      </c>
    </row>
    <row r="13">
      <c r="A13" s="8" t="inlineStr">
        <is>
          <t>Плечи</t>
        </is>
      </c>
      <c r="B13" s="9">
        <f>SUMIF(Тренировки!$E$2:$E$37,$A13,Тренировки!$G$2:$G$37)</f>
        <v/>
      </c>
      <c r="C13" s="12">
        <f>SUMIF(Тренировки!$E$2:$E$37,$A13,Тренировки!$I$2:$I$37)</f>
        <v/>
      </c>
    </row>
    <row r="14">
      <c r="A14" s="8" t="inlineStr">
        <is>
          <t>Руки</t>
        </is>
      </c>
      <c r="B14" s="9">
        <f>SUMIF(Тренировки!$E$2:$E$37,$A14,Тренировки!$G$2:$G$37)</f>
        <v/>
      </c>
      <c r="C14" s="12">
        <f>SUMIF(Тренировки!$E$2:$E$37,$A14,Тренировки!$I$2:$I$37)</f>
        <v/>
      </c>
    </row>
    <row r="15"/>
    <row r="16">
      <c r="A16" s="3" t="inlineStr">
        <is>
          <t>По неделям</t>
        </is>
      </c>
    </row>
    <row r="17">
      <c r="A17" s="6" t="inlineStr">
        <is>
          <t>Неделя</t>
        </is>
      </c>
      <c r="B17" s="6" t="inlineStr">
        <is>
          <t>Тоннаж, кг</t>
        </is>
      </c>
      <c r="C17" s="6" t="inlineStr">
        <is>
          <t>Вес в приседе, кг</t>
        </is>
      </c>
    </row>
    <row r="18">
      <c r="A18" s="7" t="n">
        <v>1</v>
      </c>
      <c r="B18" s="12">
        <f>SUMIF(Тренировки!$J$2:$J$37,$A18,Тренировки!$I$2:$I$37)</f>
        <v/>
      </c>
      <c r="C18" s="9">
        <f>SUMIFS(Тренировки!$F$2:$F$37,Тренировки!$C$2:$C$37,"У1",Тренировки!$J$2:$J$37,$A18)</f>
        <v/>
      </c>
    </row>
    <row r="19">
      <c r="A19" s="7" t="n">
        <v>2</v>
      </c>
      <c r="B19" s="12">
        <f>SUMIF(Тренировки!$J$2:$J$37,$A19,Тренировки!$I$2:$I$37)</f>
        <v/>
      </c>
      <c r="C19" s="9">
        <f>SUMIFS(Тренировки!$F$2:$F$37,Тренировки!$C$2:$C$37,"У1",Тренировки!$J$2:$J$37,$A19)</f>
        <v/>
      </c>
    </row>
    <row r="20">
      <c r="A20" s="7" t="n">
        <v>3</v>
      </c>
      <c r="B20" s="12">
        <f>SUMIF(Тренировки!$J$2:$J$37,$A20,Тренировки!$I$2:$I$37)</f>
        <v/>
      </c>
      <c r="C20" s="9">
        <f>SUMIFS(Тренировки!$F$2:$F$37,Тренировки!$C$2:$C$37,"У1",Тренировки!$J$2:$J$37,$A20)</f>
        <v/>
      </c>
    </row>
    <row r="21">
      <c r="A21" s="7" t="n">
        <v>4</v>
      </c>
      <c r="B21" s="12">
        <f>SUMIF(Тренировки!$J$2:$J$37,$A21,Тренировки!$I$2:$I$37)</f>
        <v/>
      </c>
      <c r="C21" s="9">
        <f>SUMIFS(Тренировки!$F$2:$F$37,Тренировки!$C$2:$C$37,"У1",Тренировки!$J$2:$J$37,$A21)</f>
        <v/>
      </c>
    </row>
    <row r="22"/>
    <row r="23">
      <c r="A23" s="3" t="inlineStr">
        <is>
          <t>Прогноз по приседу</t>
        </is>
      </c>
    </row>
    <row r="24">
      <c r="A24" s="2" t="inlineStr">
        <is>
          <t>Текущий рабочий вес, кг</t>
        </is>
      </c>
      <c r="B24" s="9">
        <f>SUMIFS(Тренировки!$F$2:$F$37,Тренировки!$C$2:$C$37,"У1",Тренировки!$J$2:$J$37,MAX(Тренировки!$J$2:$J$37))</f>
        <v/>
      </c>
    </row>
    <row r="25">
      <c r="A25" s="2" t="inlineStr">
        <is>
          <t>Цель, кг</t>
        </is>
      </c>
      <c r="B25" s="9">
        <f>Модель!$B$15</f>
        <v/>
      </c>
    </row>
    <row r="26">
      <c r="A26" s="2" t="inlineStr">
        <is>
          <t>Недель до цели</t>
        </is>
      </c>
      <c r="B26" s="9">
        <f>ROUNDUP(MAX(0,$B25-$B24)/Модель!$B$14,0)</f>
        <v/>
      </c>
    </row>
    <row r="27">
      <c r="A27" s="2" t="inlineStr">
        <is>
          <t>Дата достижения цели</t>
        </is>
      </c>
      <c r="B27" s="13">
        <f>Модель!$B$17+$B26*7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2026-09-22T19:28:55Z</dcterms:created>
  <dcterms:modified xsi:type="dcterms:W3CDTF">2026-09-22T19:28:55Z</dcterms:modified>
</cp:coreProperties>
</file>