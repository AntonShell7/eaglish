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едметы" sheetId="1" state="visible" r:id="rId1"/>
    <sheet name="Оценки" sheetId="2" state="visible" r:id="rId2"/>
    <sheet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" fillId="0" borderId="1" pivotButton="0" quotePrefix="0" xfId="0"/>
    <xf numFmtId="2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Средний балл по предметам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'Итоги'!D5</f>
            </strRef>
          </tx>
          <spPr>
            <a:ln>
              <a:prstDash val="solid"/>
            </a:ln>
          </spPr>
          <cat>
            <numRef>
              <f>'Итоги'!$B$6:$B$10</f>
            </numRef>
          </cat>
          <val>
            <numRef>
              <f>'Итоги'!$D$6:$D$10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</cols>
  <sheetData>
    <row r="1">
      <c r="A1" s="1" t="inlineStr">
        <is>
          <t>Предметы</t>
        </is>
      </c>
    </row>
    <row r="3">
      <c r="A3" s="2" t="inlineStr">
        <is>
          <t>Код</t>
        </is>
      </c>
      <c r="B3" s="2" t="inlineStr">
        <is>
          <t>Предмет</t>
        </is>
      </c>
    </row>
    <row r="4">
      <c r="A4" s="3" t="inlineStr">
        <is>
          <t>П1</t>
        </is>
      </c>
      <c r="B4" s="4" t="inlineStr">
        <is>
          <t>Информатика</t>
        </is>
      </c>
    </row>
    <row r="5">
      <c r="A5" s="3" t="inlineStr">
        <is>
          <t>П2</t>
        </is>
      </c>
      <c r="B5" s="4" t="inlineStr">
        <is>
          <t>Алгебра</t>
        </is>
      </c>
    </row>
    <row r="6">
      <c r="A6" s="3" t="inlineStr">
        <is>
          <t>П3</t>
        </is>
      </c>
      <c r="B6" s="4" t="inlineStr">
        <is>
          <t>Физика</t>
        </is>
      </c>
    </row>
    <row r="7">
      <c r="A7" s="3" t="inlineStr">
        <is>
          <t>П4</t>
        </is>
      </c>
      <c r="B7" s="4" t="inlineStr">
        <is>
          <t>Русский язык</t>
        </is>
      </c>
    </row>
    <row r="8">
      <c r="A8" s="3" t="inlineStr">
        <is>
          <t>П5</t>
        </is>
      </c>
      <c r="B8" s="4" t="inlineStr">
        <is>
          <t>История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9" customWidth="1" min="5" max="5"/>
  </cols>
  <sheetData>
    <row r="1">
      <c r="A1" s="1" t="inlineStr">
        <is>
          <t>Журнал оценок</t>
        </is>
      </c>
    </row>
    <row r="3">
      <c r="A3" s="2" t="inlineStr">
        <is>
          <t>№</t>
        </is>
      </c>
      <c r="B3" s="2" t="inlineStr">
        <is>
          <t>Дата</t>
        </is>
      </c>
      <c r="C3" s="2" t="inlineStr">
        <is>
          <t>Код</t>
        </is>
      </c>
      <c r="D3" s="2" t="inlineStr">
        <is>
          <t>Предмет</t>
        </is>
      </c>
      <c r="E3" s="2" t="inlineStr">
        <is>
          <t>Оценка</t>
        </is>
      </c>
    </row>
    <row r="4">
      <c r="A4" s="3" t="n">
        <v>1</v>
      </c>
      <c r="B4" s="5" t="n">
        <v>46267</v>
      </c>
      <c r="C4" s="3" t="inlineStr">
        <is>
          <t>П1</t>
        </is>
      </c>
      <c r="D4" s="4">
        <f>VLOOKUP(C4,Предметы!$A$4:$B$8,2,0)</f>
        <v/>
      </c>
      <c r="E4" s="3" t="n">
        <v>5</v>
      </c>
    </row>
    <row r="5">
      <c r="A5" s="3" t="n">
        <v>2</v>
      </c>
      <c r="B5" s="5" t="n">
        <v>46267</v>
      </c>
      <c r="C5" s="3" t="inlineStr">
        <is>
          <t>П2</t>
        </is>
      </c>
      <c r="D5" s="4">
        <f>VLOOKUP(C5,Предметы!$A$4:$B$8,2,0)</f>
        <v/>
      </c>
      <c r="E5" s="3" t="n">
        <v>4</v>
      </c>
    </row>
    <row r="6">
      <c r="A6" s="3" t="n">
        <v>3</v>
      </c>
      <c r="B6" s="5" t="n">
        <v>46268</v>
      </c>
      <c r="C6" s="3" t="inlineStr">
        <is>
          <t>П4</t>
        </is>
      </c>
      <c r="D6" s="4">
        <f>VLOOKUP(C6,Предметы!$A$4:$B$8,2,0)</f>
        <v/>
      </c>
      <c r="E6" s="3" t="n">
        <v>4</v>
      </c>
    </row>
    <row r="7">
      <c r="A7" s="3" t="n">
        <v>4</v>
      </c>
      <c r="B7" s="5" t="n">
        <v>46269</v>
      </c>
      <c r="C7" s="3" t="inlineStr">
        <is>
          <t>П3</t>
        </is>
      </c>
      <c r="D7" s="4">
        <f>VLOOKUP(C7,Предметы!$A$4:$B$8,2,0)</f>
        <v/>
      </c>
      <c r="E7" s="3" t="n">
        <v>3</v>
      </c>
    </row>
    <row r="8">
      <c r="A8" s="3" t="n">
        <v>5</v>
      </c>
      <c r="B8" s="5" t="n">
        <v>46269</v>
      </c>
      <c r="C8" s="3" t="inlineStr">
        <is>
          <t>П5</t>
        </is>
      </c>
      <c r="D8" s="4">
        <f>VLOOKUP(C8,Предметы!$A$4:$B$8,2,0)</f>
        <v/>
      </c>
      <c r="E8" s="3" t="n">
        <v>5</v>
      </c>
    </row>
    <row r="9">
      <c r="A9" s="3" t="n">
        <v>6</v>
      </c>
      <c r="B9" s="5" t="n">
        <v>46273</v>
      </c>
      <c r="C9" s="3" t="inlineStr">
        <is>
          <t>П1</t>
        </is>
      </c>
      <c r="D9" s="4">
        <f>VLOOKUP(C9,Предметы!$A$4:$B$8,2,0)</f>
        <v/>
      </c>
      <c r="E9" s="3" t="n">
        <v>5</v>
      </c>
    </row>
    <row r="10">
      <c r="A10" s="3" t="n">
        <v>7</v>
      </c>
      <c r="B10" s="5" t="n">
        <v>46274</v>
      </c>
      <c r="C10" s="3" t="inlineStr">
        <is>
          <t>П2</t>
        </is>
      </c>
      <c r="D10" s="4">
        <f>VLOOKUP(C10,Предметы!$A$4:$B$8,2,0)</f>
        <v/>
      </c>
      <c r="E10" s="3" t="n">
        <v>5</v>
      </c>
    </row>
    <row r="11">
      <c r="A11" s="3" t="n">
        <v>8</v>
      </c>
      <c r="B11" s="5" t="n">
        <v>46274</v>
      </c>
      <c r="C11" s="3" t="inlineStr">
        <is>
          <t>П3</t>
        </is>
      </c>
      <c r="D11" s="4">
        <f>VLOOKUP(C11,Предметы!$A$4:$B$8,2,0)</f>
        <v/>
      </c>
      <c r="E11" s="3" t="n">
        <v>4</v>
      </c>
    </row>
    <row r="12">
      <c r="A12" s="3" t="n">
        <v>9</v>
      </c>
      <c r="B12" s="5" t="n">
        <v>46275</v>
      </c>
      <c r="C12" s="3" t="inlineStr">
        <is>
          <t>П4</t>
        </is>
      </c>
      <c r="D12" s="4">
        <f>VLOOKUP(C12,Предметы!$A$4:$B$8,2,0)</f>
        <v/>
      </c>
      <c r="E12" s="3" t="n">
        <v>3</v>
      </c>
    </row>
    <row r="13">
      <c r="A13" s="3" t="n">
        <v>10</v>
      </c>
      <c r="B13" s="5" t="n">
        <v>46276</v>
      </c>
      <c r="C13" s="3" t="inlineStr">
        <is>
          <t>П5</t>
        </is>
      </c>
      <c r="D13" s="4">
        <f>VLOOKUP(C13,Предметы!$A$4:$B$8,2,0)</f>
        <v/>
      </c>
      <c r="E13" s="3" t="n">
        <v>4</v>
      </c>
    </row>
    <row r="14">
      <c r="A14" s="3" t="n">
        <v>11</v>
      </c>
      <c r="B14" s="5" t="n">
        <v>46280</v>
      </c>
      <c r="C14" s="3" t="inlineStr">
        <is>
          <t>П1</t>
        </is>
      </c>
      <c r="D14" s="4">
        <f>VLOOKUP(C14,Предметы!$A$4:$B$8,2,0)</f>
        <v/>
      </c>
      <c r="E14" s="3" t="n">
        <v>4</v>
      </c>
    </row>
    <row r="15">
      <c r="A15" s="3" t="n">
        <v>12</v>
      </c>
      <c r="B15" s="5" t="n">
        <v>46280</v>
      </c>
      <c r="C15" s="3" t="inlineStr">
        <is>
          <t>П2</t>
        </is>
      </c>
      <c r="D15" s="4">
        <f>VLOOKUP(C15,Предметы!$A$4:$B$8,2,0)</f>
        <v/>
      </c>
      <c r="E15" s="3" t="n">
        <v>3</v>
      </c>
    </row>
    <row r="16">
      <c r="A16" s="3" t="n">
        <v>13</v>
      </c>
      <c r="B16" s="5" t="n">
        <v>46281</v>
      </c>
      <c r="C16" s="3" t="inlineStr">
        <is>
          <t>П3</t>
        </is>
      </c>
      <c r="D16" s="4">
        <f>VLOOKUP(C16,Предметы!$A$4:$B$8,2,0)</f>
        <v/>
      </c>
      <c r="E16" s="3" t="n">
        <v>4</v>
      </c>
    </row>
    <row r="17">
      <c r="A17" s="3" t="n">
        <v>14</v>
      </c>
      <c r="B17" s="5" t="n">
        <v>46282</v>
      </c>
      <c r="C17" s="3" t="inlineStr">
        <is>
          <t>П4</t>
        </is>
      </c>
      <c r="D17" s="4">
        <f>VLOOKUP(C17,Предметы!$A$4:$B$8,2,0)</f>
        <v/>
      </c>
      <c r="E17" s="3" t="n">
        <v>4</v>
      </c>
    </row>
    <row r="18">
      <c r="A18" s="3" t="n">
        <v>15</v>
      </c>
      <c r="B18" s="5" t="n">
        <v>46283</v>
      </c>
      <c r="C18" s="3" t="inlineStr">
        <is>
          <t>П5</t>
        </is>
      </c>
      <c r="D18" s="4">
        <f>VLOOKUP(C18,Предметы!$A$4:$B$8,2,0)</f>
        <v/>
      </c>
      <c r="E18" s="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9" customWidth="1" min="3" max="3"/>
    <col width="12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Итоги четверти</t>
        </is>
      </c>
    </row>
    <row r="3">
      <c r="A3" t="inlineStr">
        <is>
          <t>Нужный средний балл</t>
        </is>
      </c>
      <c r="B3" s="6" t="n">
        <v>4.5</v>
      </c>
    </row>
    <row r="5">
      <c r="A5" s="2" t="inlineStr">
        <is>
          <t>Код</t>
        </is>
      </c>
      <c r="B5" s="2" t="inlineStr">
        <is>
          <t>Предмет</t>
        </is>
      </c>
      <c r="C5" s="2" t="inlineStr">
        <is>
          <t>Оценок</t>
        </is>
      </c>
      <c r="D5" s="2" t="inlineStr">
        <is>
          <t>Средний балл</t>
        </is>
      </c>
      <c r="E5" s="2" t="inlineStr">
        <is>
          <t>Итоговая оценка</t>
        </is>
      </c>
      <c r="F5" s="2" t="inlineStr">
        <is>
          <t>Пятёрок до цели</t>
        </is>
      </c>
      <c r="G5" s="2" t="inlineStr">
        <is>
          <t>Статус</t>
        </is>
      </c>
    </row>
    <row r="6">
      <c r="A6" s="3">
        <f>Предметы!A4</f>
        <v/>
      </c>
      <c r="B6" s="4">
        <f>VLOOKUP(A6,Предметы!$A$4:$B$8,2,0)</f>
        <v/>
      </c>
      <c r="C6" s="3">
        <f>COUNTIF(Оценки!$C$4:$C$18,A6)</f>
        <v/>
      </c>
      <c r="D6" s="7">
        <f>ROUND(AVERAGEIF(Оценки!$C$4:$C$18,A6,Оценки!$E$4:$E$18),2)</f>
        <v/>
      </c>
      <c r="E6" s="3">
        <f>ROUND(D6,0)</f>
        <v/>
      </c>
      <c r="F6" s="3">
        <f>IF(D6&gt;=$B$3,0,ROUNDUP(C6*($B$3-D6)/(5-$B$3),0))</f>
        <v/>
      </c>
      <c r="G6" s="4">
        <f>IF(D6&gt;=$B$3,"цель достигнута","нужно подтянуть")</f>
        <v/>
      </c>
    </row>
    <row r="7">
      <c r="A7" s="3">
        <f>Предметы!A5</f>
        <v/>
      </c>
      <c r="B7" s="4">
        <f>VLOOKUP(A7,Предметы!$A$4:$B$8,2,0)</f>
        <v/>
      </c>
      <c r="C7" s="3">
        <f>COUNTIF(Оценки!$C$4:$C$18,A7)</f>
        <v/>
      </c>
      <c r="D7" s="7">
        <f>ROUND(AVERAGEIF(Оценки!$C$4:$C$18,A7,Оценки!$E$4:$E$18),2)</f>
        <v/>
      </c>
      <c r="E7" s="3">
        <f>ROUND(D7,0)</f>
        <v/>
      </c>
      <c r="F7" s="3">
        <f>IF(D7&gt;=$B$3,0,ROUNDUP(C7*($B$3-D7)/(5-$B$3),0))</f>
        <v/>
      </c>
      <c r="G7" s="4">
        <f>IF(D7&gt;=$B$3,"цель достигнута","нужно подтянуть")</f>
        <v/>
      </c>
    </row>
    <row r="8">
      <c r="A8" s="3">
        <f>Предметы!A6</f>
        <v/>
      </c>
      <c r="B8" s="4">
        <f>VLOOKUP(A8,Предметы!$A$4:$B$8,2,0)</f>
        <v/>
      </c>
      <c r="C8" s="3">
        <f>COUNTIF(Оценки!$C$4:$C$18,A8)</f>
        <v/>
      </c>
      <c r="D8" s="7">
        <f>ROUND(AVERAGEIF(Оценки!$C$4:$C$18,A8,Оценки!$E$4:$E$18),2)</f>
        <v/>
      </c>
      <c r="E8" s="3">
        <f>ROUND(D8,0)</f>
        <v/>
      </c>
      <c r="F8" s="3">
        <f>IF(D8&gt;=$B$3,0,ROUNDUP(C8*($B$3-D8)/(5-$B$3),0))</f>
        <v/>
      </c>
      <c r="G8" s="4">
        <f>IF(D8&gt;=$B$3,"цель достигнута","нужно подтянуть")</f>
        <v/>
      </c>
    </row>
    <row r="9">
      <c r="A9" s="3">
        <f>Предметы!A7</f>
        <v/>
      </c>
      <c r="B9" s="4">
        <f>VLOOKUP(A9,Предметы!$A$4:$B$8,2,0)</f>
        <v/>
      </c>
      <c r="C9" s="3">
        <f>COUNTIF(Оценки!$C$4:$C$18,A9)</f>
        <v/>
      </c>
      <c r="D9" s="7">
        <f>ROUND(AVERAGEIF(Оценки!$C$4:$C$18,A9,Оценки!$E$4:$E$18),2)</f>
        <v/>
      </c>
      <c r="E9" s="3">
        <f>ROUND(D9,0)</f>
        <v/>
      </c>
      <c r="F9" s="3">
        <f>IF(D9&gt;=$B$3,0,ROUNDUP(C9*($B$3-D9)/(5-$B$3),0))</f>
        <v/>
      </c>
      <c r="G9" s="4">
        <f>IF(D9&gt;=$B$3,"цель достигнута","нужно подтянуть")</f>
        <v/>
      </c>
    </row>
    <row r="10">
      <c r="A10" s="3">
        <f>Предметы!A8</f>
        <v/>
      </c>
      <c r="B10" s="4">
        <f>VLOOKUP(A10,Предметы!$A$4:$B$8,2,0)</f>
        <v/>
      </c>
      <c r="C10" s="3">
        <f>COUNTIF(Оценки!$C$4:$C$18,A10)</f>
        <v/>
      </c>
      <c r="D10" s="7">
        <f>ROUND(AVERAGEIF(Оценки!$C$4:$C$18,A10,Оценки!$E$4:$E$18),2)</f>
        <v/>
      </c>
      <c r="E10" s="3">
        <f>ROUND(D10,0)</f>
        <v/>
      </c>
      <c r="F10" s="3">
        <f>IF(D10&gt;=$B$3,0,ROUNDUP(C10*($B$3-D10)/(5-$B$3),0))</f>
        <v/>
      </c>
      <c r="G10" s="4">
        <f>IF(D10&gt;=$B$3,"цель достигнута","нужно подтянуть")</f>
        <v/>
      </c>
    </row>
    <row r="11">
      <c r="A11" s="2" t="inlineStr"/>
      <c r="B11" s="8" t="inlineStr">
        <is>
          <t>Итого</t>
        </is>
      </c>
      <c r="C11" s="2">
        <f>SUM(C6:C10)</f>
        <v/>
      </c>
      <c r="D11" s="9">
        <f>ROUND(AVERAGE(Оценки!$E$4:$E$18),2)</f>
        <v/>
      </c>
      <c r="E11" s="2" t="inlineStr"/>
      <c r="F11" s="2">
        <f>SUM(F6:F10)</f>
        <v/>
      </c>
      <c r="G11" s="8" t="inlineStr"/>
    </row>
    <row r="13">
      <c r="A13" s="4" t="inlineStr">
        <is>
          <t>Пятёрок</t>
        </is>
      </c>
      <c r="B13" s="3">
        <f>COUNTIF(Оценки!$E$4:$E$18,5)</f>
        <v/>
      </c>
    </row>
    <row r="14">
      <c r="A14" s="4" t="inlineStr">
        <is>
          <t>Четвёрок</t>
        </is>
      </c>
      <c r="B14" s="3">
        <f>COUNTIF(Оценки!$E$4:$E$18,4)</f>
        <v/>
      </c>
    </row>
    <row r="15">
      <c r="A15" s="4" t="inlineStr">
        <is>
          <t>Троек</t>
        </is>
      </c>
      <c r="B15" s="3">
        <f>COUNTIF(Оценки!$E$4:$E$18,3)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2026-09-22T21:24:36Z</dcterms:created>
  <dcterms:modified xsi:type="dcterms:W3CDTF">2026-09-22T21:24:36Z</dcterms:modified>
</cp:coreProperties>
</file>