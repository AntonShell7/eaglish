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дметы" sheetId="1" state="visible" r:id="rId1"/>
    <sheet name="Оценки" sheetId="2" state="visible" r:id="rId2"/>
    <sheet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  <font>
      <name val="Arial"/>
      <b val="1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Средний балл по предметам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'Итоги'!C5</f>
            </strRef>
          </tx>
          <spPr>
            <a:ln>
              <a:prstDash val="solid"/>
            </a:ln>
          </spPr>
          <cat>
            <numRef>
              <f>'Итоги'!$A$6:$A$10</f>
            </numRef>
          </cat>
          <val>
            <numRef>
              <f>'Итоги'!$C$6:$C$10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</cols>
  <sheetData>
    <row r="1">
      <c r="A1" s="1" t="inlineStr">
        <is>
          <t>Код</t>
        </is>
      </c>
      <c r="B1" s="1" t="inlineStr">
        <is>
          <t>Предмет</t>
        </is>
      </c>
    </row>
    <row r="2">
      <c r="A2" s="2" t="inlineStr">
        <is>
          <t>П1</t>
        </is>
      </c>
      <c r="B2" s="3" t="inlineStr">
        <is>
          <t>Информатика</t>
        </is>
      </c>
    </row>
    <row r="3">
      <c r="A3" s="2" t="inlineStr">
        <is>
          <t>П2</t>
        </is>
      </c>
      <c r="B3" s="3" t="inlineStr">
        <is>
          <t>Алгебра</t>
        </is>
      </c>
    </row>
    <row r="4">
      <c r="A4" s="2" t="inlineStr">
        <is>
          <t>П3</t>
        </is>
      </c>
      <c r="B4" s="3" t="inlineStr">
        <is>
          <t>Физика</t>
        </is>
      </c>
    </row>
    <row r="5">
      <c r="A5" s="2" t="inlineStr">
        <is>
          <t>П4</t>
        </is>
      </c>
      <c r="B5" s="3" t="inlineStr">
        <is>
          <t>Русский язык</t>
        </is>
      </c>
    </row>
    <row r="6">
      <c r="A6" s="2" t="inlineStr">
        <is>
          <t>П5</t>
        </is>
      </c>
      <c r="B6" s="3" t="inlineStr">
        <is>
          <t>История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2" customWidth="1" min="4" max="4"/>
    <col width="9" customWidth="1" min="5" max="5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Код</t>
        </is>
      </c>
      <c r="D1" s="1" t="inlineStr">
        <is>
          <t>Предмет (авто)</t>
        </is>
      </c>
      <c r="E1" s="1" t="inlineStr">
        <is>
          <t>Оценка</t>
        </is>
      </c>
    </row>
    <row r="2">
      <c r="A2" s="4" t="n">
        <v>1</v>
      </c>
      <c r="B2" s="5" t="n">
        <v>46267</v>
      </c>
      <c r="C2" s="2" t="inlineStr">
        <is>
          <t>П1</t>
        </is>
      </c>
      <c r="D2" s="6">
        <f>IFERROR(INDEX(Предметы!$B$2:$B$6,MATCH($C2,Предметы!$A$2:$A$6,0)),"")</f>
        <v/>
      </c>
      <c r="E2" s="2" t="n">
        <v>5</v>
      </c>
    </row>
    <row r="3">
      <c r="A3" s="4" t="n">
        <v>2</v>
      </c>
      <c r="B3" s="5" t="n">
        <v>46267</v>
      </c>
      <c r="C3" s="2" t="inlineStr">
        <is>
          <t>П2</t>
        </is>
      </c>
      <c r="D3" s="6">
        <f>IFERROR(INDEX(Предметы!$B$2:$B$6,MATCH($C3,Предметы!$A$2:$A$6,0)),"")</f>
        <v/>
      </c>
      <c r="E3" s="2" t="n">
        <v>4</v>
      </c>
    </row>
    <row r="4">
      <c r="A4" s="4" t="n">
        <v>3</v>
      </c>
      <c r="B4" s="5" t="n">
        <v>46268</v>
      </c>
      <c r="C4" s="2" t="inlineStr">
        <is>
          <t>П4</t>
        </is>
      </c>
      <c r="D4" s="6">
        <f>IFERROR(INDEX(Предметы!$B$2:$B$6,MATCH($C4,Предметы!$A$2:$A$6,0)),"")</f>
        <v/>
      </c>
      <c r="E4" s="2" t="n">
        <v>4</v>
      </c>
    </row>
    <row r="5">
      <c r="A5" s="4" t="n">
        <v>4</v>
      </c>
      <c r="B5" s="5" t="n">
        <v>46269</v>
      </c>
      <c r="C5" s="2" t="inlineStr">
        <is>
          <t>П3</t>
        </is>
      </c>
      <c r="D5" s="6">
        <f>IFERROR(INDEX(Предметы!$B$2:$B$6,MATCH($C5,Предметы!$A$2:$A$6,0)),"")</f>
        <v/>
      </c>
      <c r="E5" s="2" t="n">
        <v>3</v>
      </c>
    </row>
    <row r="6">
      <c r="A6" s="4" t="n">
        <v>5</v>
      </c>
      <c r="B6" s="5" t="n">
        <v>46269</v>
      </c>
      <c r="C6" s="2" t="inlineStr">
        <is>
          <t>П5</t>
        </is>
      </c>
      <c r="D6" s="6">
        <f>IFERROR(INDEX(Предметы!$B$2:$B$6,MATCH($C6,Предметы!$A$2:$A$6,0)),"")</f>
        <v/>
      </c>
      <c r="E6" s="2" t="n">
        <v>5</v>
      </c>
    </row>
    <row r="7">
      <c r="A7" s="4" t="n">
        <v>6</v>
      </c>
      <c r="B7" s="5" t="n">
        <v>46273</v>
      </c>
      <c r="C7" s="2" t="inlineStr">
        <is>
          <t>П1</t>
        </is>
      </c>
      <c r="D7" s="6">
        <f>IFERROR(INDEX(Предметы!$B$2:$B$6,MATCH($C7,Предметы!$A$2:$A$6,0)),"")</f>
        <v/>
      </c>
      <c r="E7" s="2" t="n">
        <v>5</v>
      </c>
    </row>
    <row r="8">
      <c r="A8" s="4" t="n">
        <v>7</v>
      </c>
      <c r="B8" s="5" t="n">
        <v>46274</v>
      </c>
      <c r="C8" s="2" t="inlineStr">
        <is>
          <t>П2</t>
        </is>
      </c>
      <c r="D8" s="6">
        <f>IFERROR(INDEX(Предметы!$B$2:$B$6,MATCH($C8,Предметы!$A$2:$A$6,0)),"")</f>
        <v/>
      </c>
      <c r="E8" s="2" t="n">
        <v>5</v>
      </c>
    </row>
    <row r="9">
      <c r="A9" s="4" t="n">
        <v>8</v>
      </c>
      <c r="B9" s="5" t="n">
        <v>46274</v>
      </c>
      <c r="C9" s="2" t="inlineStr">
        <is>
          <t>П3</t>
        </is>
      </c>
      <c r="D9" s="6">
        <f>IFERROR(INDEX(Предметы!$B$2:$B$6,MATCH($C9,Предметы!$A$2:$A$6,0)),"")</f>
        <v/>
      </c>
      <c r="E9" s="2" t="n">
        <v>4</v>
      </c>
    </row>
    <row r="10">
      <c r="A10" s="4" t="n">
        <v>9</v>
      </c>
      <c r="B10" s="5" t="n">
        <v>46275</v>
      </c>
      <c r="C10" s="2" t="inlineStr">
        <is>
          <t>П4</t>
        </is>
      </c>
      <c r="D10" s="6">
        <f>IFERROR(INDEX(Предметы!$B$2:$B$6,MATCH($C10,Предметы!$A$2:$A$6,0)),"")</f>
        <v/>
      </c>
      <c r="E10" s="2" t="n">
        <v>3</v>
      </c>
    </row>
    <row r="11">
      <c r="A11" s="4" t="n">
        <v>10</v>
      </c>
      <c r="B11" s="5" t="n">
        <v>46276</v>
      </c>
      <c r="C11" s="2" t="inlineStr">
        <is>
          <t>П5</t>
        </is>
      </c>
      <c r="D11" s="6">
        <f>IFERROR(INDEX(Предметы!$B$2:$B$6,MATCH($C11,Предметы!$A$2:$A$6,0)),"")</f>
        <v/>
      </c>
      <c r="E11" s="2" t="n">
        <v>4</v>
      </c>
    </row>
    <row r="12">
      <c r="A12" s="4" t="n">
        <v>11</v>
      </c>
      <c r="B12" s="5" t="n">
        <v>46280</v>
      </c>
      <c r="C12" s="2" t="inlineStr">
        <is>
          <t>П1</t>
        </is>
      </c>
      <c r="D12" s="6">
        <f>IFERROR(INDEX(Предметы!$B$2:$B$6,MATCH($C12,Предметы!$A$2:$A$6,0)),"")</f>
        <v/>
      </c>
      <c r="E12" s="2" t="n">
        <v>4</v>
      </c>
    </row>
    <row r="13">
      <c r="A13" s="4" t="n">
        <v>12</v>
      </c>
      <c r="B13" s="5" t="n">
        <v>46280</v>
      </c>
      <c r="C13" s="2" t="inlineStr">
        <is>
          <t>П2</t>
        </is>
      </c>
      <c r="D13" s="6">
        <f>IFERROR(INDEX(Предметы!$B$2:$B$6,MATCH($C13,Предметы!$A$2:$A$6,0)),"")</f>
        <v/>
      </c>
      <c r="E13" s="2" t="n">
        <v>3</v>
      </c>
    </row>
    <row r="14">
      <c r="A14" s="4" t="n">
        <v>13</v>
      </c>
      <c r="B14" s="5" t="n">
        <v>46281</v>
      </c>
      <c r="C14" s="2" t="inlineStr">
        <is>
          <t>П3</t>
        </is>
      </c>
      <c r="D14" s="6">
        <f>IFERROR(INDEX(Предметы!$B$2:$B$6,MATCH($C14,Предметы!$A$2:$A$6,0)),"")</f>
        <v/>
      </c>
      <c r="E14" s="2" t="n">
        <v>4</v>
      </c>
    </row>
    <row r="15">
      <c r="A15" s="4" t="n">
        <v>14</v>
      </c>
      <c r="B15" s="5" t="n">
        <v>46282</v>
      </c>
      <c r="C15" s="2" t="inlineStr">
        <is>
          <t>П4</t>
        </is>
      </c>
      <c r="D15" s="6">
        <f>IFERROR(INDEX(Предметы!$B$2:$B$6,MATCH($C15,Предметы!$A$2:$A$6,0)),"")</f>
        <v/>
      </c>
      <c r="E15" s="2" t="n">
        <v>4</v>
      </c>
    </row>
    <row r="16">
      <c r="A16" s="4" t="n">
        <v>15</v>
      </c>
      <c r="B16" s="5" t="n">
        <v>46283</v>
      </c>
      <c r="C16" s="2" t="inlineStr">
        <is>
          <t>П5</t>
        </is>
      </c>
      <c r="D16" s="6">
        <f>IFERROR(INDEX(Предметы!$B$2:$B$6,MATCH($C16,Предметы!$A$2:$A$6,0)),"")</f>
        <v/>
      </c>
      <c r="E16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6" customWidth="1" min="5" max="5"/>
  </cols>
  <sheetData>
    <row r="1">
      <c r="A1" s="7" t="inlineStr">
        <is>
          <t>Итоги четверти</t>
        </is>
      </c>
    </row>
    <row r="2"/>
    <row r="3">
      <c r="A3" s="8" t="inlineStr">
        <is>
          <t>Нужный средний балл (можно менять)</t>
        </is>
      </c>
      <c r="B3" s="9" t="n">
        <v>4.5</v>
      </c>
    </row>
    <row r="4"/>
    <row r="5">
      <c r="A5" s="1" t="inlineStr">
        <is>
          <t>Предмет</t>
        </is>
      </c>
      <c r="B5" s="1" t="inlineStr">
        <is>
          <t>Оценок</t>
        </is>
      </c>
      <c r="C5" s="1" t="inlineStr">
        <is>
          <t>Средний балл</t>
        </is>
      </c>
      <c r="D5" s="1" t="inlineStr">
        <is>
          <t>Итоговая оценка</t>
        </is>
      </c>
      <c r="E5" s="1" t="inlineStr">
        <is>
          <t>Пятёрок до цели</t>
        </is>
      </c>
    </row>
    <row r="6">
      <c r="A6" s="3" t="inlineStr">
        <is>
          <t>Информатика</t>
        </is>
      </c>
      <c r="B6" s="4">
        <f>COUNTIF(Оценки!$C$2:$C$16,"П1")</f>
        <v/>
      </c>
      <c r="C6" s="10">
        <f>ROUND(AVERAGEIF(Оценки!$C$2:$C$16,"П1",Оценки!$E$2:$E$16),2)</f>
        <v/>
      </c>
      <c r="D6" s="4">
        <f>ROUND($C6,0)</f>
        <v/>
      </c>
      <c r="E6" s="4">
        <f>IF($C6&gt;=$B$3,0,ROUNDUP($B6*($B$3-$C6)/(5-$B$3),0))</f>
        <v/>
      </c>
    </row>
    <row r="7">
      <c r="A7" s="3" t="inlineStr">
        <is>
          <t>Алгебра</t>
        </is>
      </c>
      <c r="B7" s="4">
        <f>COUNTIF(Оценки!$C$2:$C$16,"П2")</f>
        <v/>
      </c>
      <c r="C7" s="10">
        <f>ROUND(AVERAGEIF(Оценки!$C$2:$C$16,"П2",Оценки!$E$2:$E$16),2)</f>
        <v/>
      </c>
      <c r="D7" s="4">
        <f>ROUND($C7,0)</f>
        <v/>
      </c>
      <c r="E7" s="4">
        <f>IF($C7&gt;=$B$3,0,ROUNDUP($B7*($B$3-$C7)/(5-$B$3),0))</f>
        <v/>
      </c>
    </row>
    <row r="8">
      <c r="A8" s="3" t="inlineStr">
        <is>
          <t>Физика</t>
        </is>
      </c>
      <c r="B8" s="4">
        <f>COUNTIF(Оценки!$C$2:$C$16,"П3")</f>
        <v/>
      </c>
      <c r="C8" s="10">
        <f>ROUND(AVERAGEIF(Оценки!$C$2:$C$16,"П3",Оценки!$E$2:$E$16),2)</f>
        <v/>
      </c>
      <c r="D8" s="4">
        <f>ROUND($C8,0)</f>
        <v/>
      </c>
      <c r="E8" s="4">
        <f>IF($C8&gt;=$B$3,0,ROUNDUP($B8*($B$3-$C8)/(5-$B$3),0))</f>
        <v/>
      </c>
    </row>
    <row r="9">
      <c r="A9" s="3" t="inlineStr">
        <is>
          <t>Русский язык</t>
        </is>
      </c>
      <c r="B9" s="4">
        <f>COUNTIF(Оценки!$C$2:$C$16,"П4")</f>
        <v/>
      </c>
      <c r="C9" s="10">
        <f>ROUND(AVERAGEIF(Оценки!$C$2:$C$16,"П4",Оценки!$E$2:$E$16),2)</f>
        <v/>
      </c>
      <c r="D9" s="4">
        <f>ROUND($C9,0)</f>
        <v/>
      </c>
      <c r="E9" s="4">
        <f>IF($C9&gt;=$B$3,0,ROUNDUP($B9*($B$3-$C9)/(5-$B$3),0))</f>
        <v/>
      </c>
    </row>
    <row r="10">
      <c r="A10" s="3" t="inlineStr">
        <is>
          <t>История</t>
        </is>
      </c>
      <c r="B10" s="4">
        <f>COUNTIF(Оценки!$C$2:$C$16,"П5")</f>
        <v/>
      </c>
      <c r="C10" s="10">
        <f>ROUND(AVERAGEIF(Оценки!$C$2:$C$16,"П5",Оценки!$E$2:$E$16),2)</f>
        <v/>
      </c>
      <c r="D10" s="4">
        <f>ROUND($C10,0)</f>
        <v/>
      </c>
      <c r="E10" s="4">
        <f>IF($C10&gt;=$B$3,0,ROUNDUP($B10*($B$3-$C10)/(5-$B$3),0))</f>
        <v/>
      </c>
    </row>
    <row r="11">
      <c r="A11" s="11" t="inlineStr">
        <is>
          <t>Итого</t>
        </is>
      </c>
      <c r="B11" s="12">
        <f>SUM($B$6:$B$10)</f>
        <v/>
      </c>
      <c r="C11" s="13">
        <f>ROUND(AVERAGE(Оценки!$E$2:$E$16),2)</f>
        <v/>
      </c>
      <c r="E11" s="12">
        <f>SUM($E$6:$E$10)</f>
        <v/>
      </c>
    </row>
    <row r="12"/>
    <row r="13">
      <c r="A13" s="8" t="inlineStr">
        <is>
          <t>Пятёрок</t>
        </is>
      </c>
      <c r="B13" s="4">
        <f>COUNTIF(Оценки!$E$2:$E$16,5)</f>
        <v/>
      </c>
    </row>
    <row r="14">
      <c r="A14" s="8" t="inlineStr">
        <is>
          <t>Четвёрок</t>
        </is>
      </c>
      <c r="B14" s="4">
        <f>COUNTIF(Оценки!$E$2:$E$16,4)</f>
        <v/>
      </c>
    </row>
    <row r="15">
      <c r="A15" s="8" t="inlineStr">
        <is>
          <t>Троек</t>
        </is>
      </c>
      <c r="B15" s="4">
        <f>COUNTIF(Оценки!$E$2:$E$16,3)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2026-09-22T19:54:56Z</dcterms:created>
  <dcterms:modified xsi:type="dcterms:W3CDTF">2026-09-22T19:54:56Z</dcterms:modified>
</cp:coreProperties>
</file>