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одель" sheetId="1" state="visible" r:id="rId1"/>
    <sheet name="Предметы" sheetId="2" state="visible" r:id="rId2"/>
    <sheet name="Виды работ" sheetId="3" state="visible" r:id="rId3"/>
    <sheet name="Журнал" sheetId="4" state="visible" r:id="rId4"/>
    <sheet name="Итог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color rgb="000000FF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C55A1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2" fontId="4" fillId="2" borderId="1" applyAlignment="1" pivotButton="0" quotePrefix="0" xfId="0">
      <alignment horizontal="center"/>
    </xf>
    <xf numFmtId="165" fontId="4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2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2" fillId="0" borderId="1" pivotButton="0" quotePrefix="0" xfId="0"/>
    <xf numFmtId="2" fontId="2" fillId="0" borderId="1" applyAlignment="1" pivotButton="0" quotePrefix="0" xfId="0">
      <alignment horizont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Средневзвешенный балл по предметам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'Итоги'!E13</f>
            </strRef>
          </tx>
          <spPr>
            <a:ln>
              <a:prstDash val="solid"/>
            </a:ln>
          </spPr>
          <cat>
            <numRef>
              <f>'Итоги'!$B$14:$B$21</f>
            </numRef>
          </cat>
          <val>
            <numRef>
              <f>'Итоги'!$E$14:$E$21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Средний балл по неделям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'Итоги'!C25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'Итоги'!$A$26:$A$29</f>
            </numRef>
          </cat>
          <val>
            <numRef>
              <f>'Итоги'!$C$26:$C$29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3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88" customWidth="1" min="1" max="1"/>
    <col width="14" customWidth="1" min="2" max="2"/>
  </cols>
  <sheetData>
    <row r="1">
      <c r="A1" s="1" t="inlineStr">
        <is>
          <t>Информационная модель «Успеваемость за четверть»</t>
        </is>
      </c>
    </row>
    <row r="2"/>
    <row r="3">
      <c r="A3" s="2" t="inlineStr">
        <is>
          <t>Цель модели: следить за успеваемостью и понимать, какие предметы нужно подтянуть до конца четверти.</t>
        </is>
      </c>
    </row>
    <row r="4">
      <c r="A4" s="3" t="inlineStr">
        <is>
          <t>Вопросы, на которые отвечает модель:</t>
        </is>
      </c>
    </row>
    <row r="5">
      <c r="A5" s="2" t="inlineStr">
        <is>
          <t>1. Какой средний и средневзвешенный балл по каждому предмету?</t>
        </is>
      </c>
    </row>
    <row r="6">
      <c r="A6" s="2" t="inlineStr">
        <is>
          <t>2. Какая итоговая оценка выходит по предмету сейчас?</t>
        </is>
      </c>
    </row>
    <row r="7">
      <c r="A7" s="2" t="inlineStr">
        <is>
          <t>3. Какие предметы «на грани» и сколько пятёрок нужно добрать до цели?</t>
        </is>
      </c>
    </row>
    <row r="8">
      <c r="A8" s="2" t="inlineStr">
        <is>
          <t>4. Растёт успеваемость от недели к неделе или падает?</t>
        </is>
      </c>
    </row>
    <row r="9">
      <c r="A9" s="2" t="inlineStr">
        <is>
          <t>5. По каким видам работ оценки хуже всего?</t>
        </is>
      </c>
    </row>
    <row r="10">
      <c r="A10" s="2" t="inlineStr">
        <is>
          <t>Тип модели: знаковая табличная (реляционная) — два справочника, журнал оценок и расчётный лист.</t>
        </is>
      </c>
    </row>
    <row r="11">
      <c r="A11" s="2" t="inlineStr">
        <is>
          <t>Существенные свойства: предмет, дата, вид работы и его вес, оценка.</t>
        </is>
      </c>
    </row>
    <row r="12">
      <c r="A12" s="2" t="inlineStr">
        <is>
          <t>Несущественные (в модель не входят): кабинет, номер урока, учитель, тема урока.</t>
        </is>
      </c>
    </row>
    <row r="13"/>
    <row r="14">
      <c r="A14" s="4" t="inlineStr">
        <is>
          <t>Параметры модели (жёлтые ячейки можно менять)</t>
        </is>
      </c>
    </row>
    <row r="15">
      <c r="A15" s="5" t="inlineStr">
        <is>
          <t>Нужный средний балл (цель)</t>
        </is>
      </c>
      <c r="B15" s="6" t="n">
        <v>4.5</v>
      </c>
    </row>
    <row r="16">
      <c r="A16" s="5" t="inlineStr">
        <is>
          <t>Начало четверти</t>
        </is>
      </c>
      <c r="B16" s="7" t="n">
        <v>46266</v>
      </c>
    </row>
    <row r="17">
      <c r="A17" s="5" t="inlineStr">
        <is>
          <t>Сегодняшняя дата</t>
        </is>
      </c>
      <c r="B17" s="7" t="n">
        <v>46287</v>
      </c>
    </row>
    <row r="18"/>
    <row r="19">
      <c r="A19" s="5" t="inlineStr">
        <is>
          <t>Синий шрифт — данные, введённые вручную. Чёрный — рассчитано формулами.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</cols>
  <sheetData>
    <row r="1">
      <c r="A1" s="8" t="inlineStr">
        <is>
          <t>Код</t>
        </is>
      </c>
      <c r="B1" s="8" t="inlineStr">
        <is>
          <t>Предмет</t>
        </is>
      </c>
      <c r="C1" s="8" t="inlineStr">
        <is>
          <t>Учитель</t>
        </is>
      </c>
    </row>
    <row r="2">
      <c r="A2" s="9" t="inlineStr">
        <is>
          <t>П1</t>
        </is>
      </c>
      <c r="B2" s="10" t="inlineStr">
        <is>
          <t>Информатика</t>
        </is>
      </c>
      <c r="C2" s="10" t="inlineStr">
        <is>
          <t>Евгений Сергеевич</t>
        </is>
      </c>
    </row>
    <row r="3">
      <c r="A3" s="9" t="inlineStr">
        <is>
          <t>П2</t>
        </is>
      </c>
      <c r="B3" s="10" t="inlineStr">
        <is>
          <t>Алгебра</t>
        </is>
      </c>
      <c r="C3" s="10" t="inlineStr">
        <is>
          <t>Ирина Павловна</t>
        </is>
      </c>
    </row>
    <row r="4">
      <c r="A4" s="9" t="inlineStr">
        <is>
          <t>П3</t>
        </is>
      </c>
      <c r="B4" s="10" t="inlineStr">
        <is>
          <t>Геометрия</t>
        </is>
      </c>
      <c r="C4" s="10" t="inlineStr">
        <is>
          <t>Ирина Павловна</t>
        </is>
      </c>
    </row>
    <row r="5">
      <c r="A5" s="9" t="inlineStr">
        <is>
          <t>П4</t>
        </is>
      </c>
      <c r="B5" s="10" t="inlineStr">
        <is>
          <t>Физика</t>
        </is>
      </c>
      <c r="C5" s="10" t="inlineStr">
        <is>
          <t>Олег Данилович</t>
        </is>
      </c>
    </row>
    <row r="6">
      <c r="A6" s="9" t="inlineStr">
        <is>
          <t>П5</t>
        </is>
      </c>
      <c r="B6" s="10" t="inlineStr">
        <is>
          <t>Русский язык</t>
        </is>
      </c>
      <c r="C6" s="10" t="inlineStr">
        <is>
          <t>Марина Юрьевна</t>
        </is>
      </c>
    </row>
    <row r="7">
      <c r="A7" s="9" t="inlineStr">
        <is>
          <t>П6</t>
        </is>
      </c>
      <c r="B7" s="10" t="inlineStr">
        <is>
          <t>Литература</t>
        </is>
      </c>
      <c r="C7" s="10" t="inlineStr">
        <is>
          <t>Марина Юрьевна</t>
        </is>
      </c>
    </row>
    <row r="8">
      <c r="A8" s="9" t="inlineStr">
        <is>
          <t>П7</t>
        </is>
      </c>
      <c r="B8" s="10" t="inlineStr">
        <is>
          <t>История</t>
        </is>
      </c>
      <c r="C8" s="10" t="inlineStr">
        <is>
          <t>Андрей Викторович</t>
        </is>
      </c>
    </row>
    <row r="9">
      <c r="A9" s="9" t="inlineStr">
        <is>
          <t>П8</t>
        </is>
      </c>
      <c r="B9" s="10" t="inlineStr">
        <is>
          <t>Английский язык</t>
        </is>
      </c>
      <c r="C9" s="10" t="inlineStr">
        <is>
          <t>Светлана Игоревна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</cols>
  <sheetData>
    <row r="1">
      <c r="A1" s="8" t="inlineStr">
        <is>
          <t>Код</t>
        </is>
      </c>
      <c r="B1" s="8" t="inlineStr">
        <is>
          <t>Вид работы</t>
        </is>
      </c>
      <c r="C1" s="8" t="inlineStr">
        <is>
          <t>Вес</t>
        </is>
      </c>
    </row>
    <row r="2">
      <c r="A2" s="9" t="inlineStr">
        <is>
          <t>В1</t>
        </is>
      </c>
      <c r="B2" s="10" t="inlineStr">
        <is>
          <t>Контрольная работа</t>
        </is>
      </c>
      <c r="C2" s="9" t="n">
        <v>2</v>
      </c>
    </row>
    <row r="3">
      <c r="A3" s="9" t="inlineStr">
        <is>
          <t>В2</t>
        </is>
      </c>
      <c r="B3" s="10" t="inlineStr">
        <is>
          <t>Самостоятельная работа</t>
        </is>
      </c>
      <c r="C3" s="9" t="n">
        <v>1.5</v>
      </c>
    </row>
    <row r="4">
      <c r="A4" s="9" t="inlineStr">
        <is>
          <t>В3</t>
        </is>
      </c>
      <c r="B4" s="10" t="inlineStr">
        <is>
          <t>Тест</t>
        </is>
      </c>
      <c r="C4" s="9" t="n">
        <v>1.5</v>
      </c>
    </row>
    <row r="5">
      <c r="A5" s="9" t="inlineStr">
        <is>
          <t>В4</t>
        </is>
      </c>
      <c r="B5" s="10" t="inlineStr">
        <is>
          <t>Практическая работа</t>
        </is>
      </c>
      <c r="C5" s="9" t="n">
        <v>1.5</v>
      </c>
    </row>
    <row r="6">
      <c r="A6" s="9" t="inlineStr">
        <is>
          <t>В5</t>
        </is>
      </c>
      <c r="B6" s="10" t="inlineStr">
        <is>
          <t>Устный ответ</t>
        </is>
      </c>
      <c r="C6" s="9" t="n">
        <v>1</v>
      </c>
    </row>
    <row r="7">
      <c r="A7" s="9" t="inlineStr">
        <is>
          <t>В6</t>
        </is>
      </c>
      <c r="B7" s="10" t="inlineStr">
        <is>
          <t>Доклад / проект</t>
        </is>
      </c>
      <c r="C7" s="9" t="n">
        <v>1</v>
      </c>
    </row>
    <row r="8">
      <c r="A8" s="9" t="inlineStr">
        <is>
          <t>В7</t>
        </is>
      </c>
      <c r="B8" s="10" t="inlineStr">
        <is>
          <t>Домашняя работа</t>
        </is>
      </c>
      <c r="C8" s="9" t="n">
        <v>0.5</v>
      </c>
    </row>
    <row r="9"/>
    <row r="10">
      <c r="A10" s="5" t="inlineStr">
        <is>
          <t>Вес показывает, насколько работа важна для итоговой оценки.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22" customWidth="1" min="4" max="4"/>
    <col width="10" customWidth="1" min="5" max="5"/>
    <col width="24" customWidth="1" min="6" max="6"/>
    <col width="9" customWidth="1" min="7" max="7"/>
    <col width="9" customWidth="1" min="8" max="8"/>
    <col width="15" customWidth="1" min="9" max="9"/>
    <col width="10" customWidth="1" min="10" max="10"/>
  </cols>
  <sheetData>
    <row r="1">
      <c r="A1" s="8" t="inlineStr">
        <is>
          <t>№</t>
        </is>
      </c>
      <c r="B1" s="8" t="inlineStr">
        <is>
          <t>Дата</t>
        </is>
      </c>
      <c r="C1" s="8" t="inlineStr">
        <is>
          <t>Код предм.</t>
        </is>
      </c>
      <c r="D1" s="8" t="inlineStr">
        <is>
          <t>Предмет (авто)</t>
        </is>
      </c>
      <c r="E1" s="8" t="inlineStr">
        <is>
          <t>Код вида</t>
        </is>
      </c>
      <c r="F1" s="8" t="inlineStr">
        <is>
          <t>Вид работы (авто)</t>
        </is>
      </c>
      <c r="G1" s="8" t="inlineStr">
        <is>
          <t>Вес (авто)</t>
        </is>
      </c>
      <c r="H1" s="8" t="inlineStr">
        <is>
          <t>Оценка</t>
        </is>
      </c>
      <c r="I1" s="8" t="inlineStr">
        <is>
          <t>Балл × вес (авто)</t>
        </is>
      </c>
      <c r="J1" s="8" t="inlineStr">
        <is>
          <t>Неделя (авто)</t>
        </is>
      </c>
    </row>
    <row r="2">
      <c r="A2" s="11" t="n">
        <v>1</v>
      </c>
      <c r="B2" s="12" t="n">
        <v>46266</v>
      </c>
      <c r="C2" s="9" t="inlineStr">
        <is>
          <t>П1</t>
        </is>
      </c>
      <c r="D2" s="13">
        <f>IFERROR(INDEX(Предметы!$B$2:$B$9,MATCH($C2,Предметы!$A$2:$A$9,0)),"")</f>
        <v/>
      </c>
      <c r="E2" s="9" t="inlineStr">
        <is>
          <t>В5</t>
        </is>
      </c>
      <c r="F2" s="13">
        <f>IFERROR(INDEX('Виды работ'!$B$2:$B$8,MATCH($E2,'Виды работ'!$A$2:$A$8,0)),"")</f>
        <v/>
      </c>
      <c r="G2" s="11">
        <f>IFERROR(INDEX('Виды работ'!$C$2:$C$8,MATCH($E2,'Виды работ'!$A$2:$A$8,0)),0)</f>
        <v/>
      </c>
      <c r="H2" s="9" t="n">
        <v>5</v>
      </c>
      <c r="I2" s="11">
        <f>$H2*$G2</f>
        <v/>
      </c>
      <c r="J2" s="11">
        <f>INT(($B2-Модель!$B$16)/7)+1</f>
        <v/>
      </c>
    </row>
    <row r="3">
      <c r="A3" s="11" t="n">
        <v>2</v>
      </c>
      <c r="B3" s="12" t="n">
        <v>46266</v>
      </c>
      <c r="C3" s="9" t="inlineStr">
        <is>
          <t>П3</t>
        </is>
      </c>
      <c r="D3" s="13">
        <f>IFERROR(INDEX(Предметы!$B$2:$B$9,MATCH($C3,Предметы!$A$2:$A$9,0)),"")</f>
        <v/>
      </c>
      <c r="E3" s="9" t="inlineStr">
        <is>
          <t>В1</t>
        </is>
      </c>
      <c r="F3" s="13">
        <f>IFERROR(INDEX('Виды работ'!$B$2:$B$8,MATCH($E3,'Виды работ'!$A$2:$A$8,0)),"")</f>
        <v/>
      </c>
      <c r="G3" s="11">
        <f>IFERROR(INDEX('Виды работ'!$C$2:$C$8,MATCH($E3,'Виды работ'!$A$2:$A$8,0)),0)</f>
        <v/>
      </c>
      <c r="H3" s="9" t="n">
        <v>4</v>
      </c>
      <c r="I3" s="11">
        <f>$H3*$G3</f>
        <v/>
      </c>
      <c r="J3" s="11">
        <f>INT(($B3-Модель!$B$16)/7)+1</f>
        <v/>
      </c>
    </row>
    <row r="4">
      <c r="A4" s="11" t="n">
        <v>3</v>
      </c>
      <c r="B4" s="12" t="n">
        <v>46266</v>
      </c>
      <c r="C4" s="9" t="inlineStr">
        <is>
          <t>П5</t>
        </is>
      </c>
      <c r="D4" s="13">
        <f>IFERROR(INDEX(Предметы!$B$2:$B$9,MATCH($C4,Предметы!$A$2:$A$9,0)),"")</f>
        <v/>
      </c>
      <c r="E4" s="9" t="inlineStr">
        <is>
          <t>В3</t>
        </is>
      </c>
      <c r="F4" s="13">
        <f>IFERROR(INDEX('Виды работ'!$B$2:$B$8,MATCH($E4,'Виды работ'!$A$2:$A$8,0)),"")</f>
        <v/>
      </c>
      <c r="G4" s="11">
        <f>IFERROR(INDEX('Виды работ'!$C$2:$C$8,MATCH($E4,'Виды работ'!$A$2:$A$8,0)),0)</f>
        <v/>
      </c>
      <c r="H4" s="9" t="n">
        <v>4</v>
      </c>
      <c r="I4" s="11">
        <f>$H4*$G4</f>
        <v/>
      </c>
      <c r="J4" s="11">
        <f>INT(($B4-Модель!$B$16)/7)+1</f>
        <v/>
      </c>
    </row>
    <row r="5">
      <c r="A5" s="11" t="n">
        <v>4</v>
      </c>
      <c r="B5" s="12" t="n">
        <v>46266</v>
      </c>
      <c r="C5" s="9" t="inlineStr">
        <is>
          <t>П7</t>
        </is>
      </c>
      <c r="D5" s="13">
        <f>IFERROR(INDEX(Предметы!$B$2:$B$9,MATCH($C5,Предметы!$A$2:$A$9,0)),"")</f>
        <v/>
      </c>
      <c r="E5" s="9" t="inlineStr">
        <is>
          <t>В4</t>
        </is>
      </c>
      <c r="F5" s="13">
        <f>IFERROR(INDEX('Виды работ'!$B$2:$B$8,MATCH($E5,'Виды работ'!$A$2:$A$8,0)),"")</f>
        <v/>
      </c>
      <c r="G5" s="11">
        <f>IFERROR(INDEX('Виды работ'!$C$2:$C$8,MATCH($E5,'Виды работ'!$A$2:$A$8,0)),0)</f>
        <v/>
      </c>
      <c r="H5" s="9" t="n">
        <v>5</v>
      </c>
      <c r="I5" s="11">
        <f>$H5*$G5</f>
        <v/>
      </c>
      <c r="J5" s="11">
        <f>INT(($B5-Модель!$B$16)/7)+1</f>
        <v/>
      </c>
    </row>
    <row r="6">
      <c r="A6" s="11" t="n">
        <v>5</v>
      </c>
      <c r="B6" s="12" t="n">
        <v>46267</v>
      </c>
      <c r="C6" s="9" t="inlineStr">
        <is>
          <t>П2</t>
        </is>
      </c>
      <c r="D6" s="13">
        <f>IFERROR(INDEX(Предметы!$B$2:$B$9,MATCH($C6,Предметы!$A$2:$A$9,0)),"")</f>
        <v/>
      </c>
      <c r="E6" s="9" t="inlineStr">
        <is>
          <t>В4</t>
        </is>
      </c>
      <c r="F6" s="13">
        <f>IFERROR(INDEX('Виды работ'!$B$2:$B$8,MATCH($E6,'Виды работ'!$A$2:$A$8,0)),"")</f>
        <v/>
      </c>
      <c r="G6" s="11">
        <f>IFERROR(INDEX('Виды работ'!$C$2:$C$8,MATCH($E6,'Виды работ'!$A$2:$A$8,0)),0)</f>
        <v/>
      </c>
      <c r="H6" s="9" t="n">
        <v>4</v>
      </c>
      <c r="I6" s="11">
        <f>$H6*$G6</f>
        <v/>
      </c>
      <c r="J6" s="11">
        <f>INT(($B6-Модель!$B$16)/7)+1</f>
        <v/>
      </c>
    </row>
    <row r="7">
      <c r="A7" s="11" t="n">
        <v>6</v>
      </c>
      <c r="B7" s="12" t="n">
        <v>46267</v>
      </c>
      <c r="C7" s="9" t="inlineStr">
        <is>
          <t>П5</t>
        </is>
      </c>
      <c r="D7" s="13">
        <f>IFERROR(INDEX(Предметы!$B$2:$B$9,MATCH($C7,Предметы!$A$2:$A$9,0)),"")</f>
        <v/>
      </c>
      <c r="E7" s="9" t="inlineStr">
        <is>
          <t>В2</t>
        </is>
      </c>
      <c r="F7" s="13">
        <f>IFERROR(INDEX('Виды работ'!$B$2:$B$8,MATCH($E7,'Виды работ'!$A$2:$A$8,0)),"")</f>
        <v/>
      </c>
      <c r="G7" s="11">
        <f>IFERROR(INDEX('Виды работ'!$C$2:$C$8,MATCH($E7,'Виды работ'!$A$2:$A$8,0)),0)</f>
        <v/>
      </c>
      <c r="H7" s="9" t="n">
        <v>4</v>
      </c>
      <c r="I7" s="11">
        <f>$H7*$G7</f>
        <v/>
      </c>
      <c r="J7" s="11">
        <f>INT(($B7-Модель!$B$16)/7)+1</f>
        <v/>
      </c>
    </row>
    <row r="8">
      <c r="A8" s="11" t="n">
        <v>7</v>
      </c>
      <c r="B8" s="12" t="n">
        <v>46267</v>
      </c>
      <c r="C8" s="9" t="inlineStr">
        <is>
          <t>П7</t>
        </is>
      </c>
      <c r="D8" s="13">
        <f>IFERROR(INDEX(Предметы!$B$2:$B$9,MATCH($C8,Предметы!$A$2:$A$9,0)),"")</f>
        <v/>
      </c>
      <c r="E8" s="9" t="inlineStr">
        <is>
          <t>В7</t>
        </is>
      </c>
      <c r="F8" s="13">
        <f>IFERROR(INDEX('Виды работ'!$B$2:$B$8,MATCH($E8,'Виды работ'!$A$2:$A$8,0)),"")</f>
        <v/>
      </c>
      <c r="G8" s="11">
        <f>IFERROR(INDEX('Виды работ'!$C$2:$C$8,MATCH($E8,'Виды работ'!$A$2:$A$8,0)),0)</f>
        <v/>
      </c>
      <c r="H8" s="9" t="n">
        <v>5</v>
      </c>
      <c r="I8" s="11">
        <f>$H8*$G8</f>
        <v/>
      </c>
      <c r="J8" s="11">
        <f>INT(($B8-Модель!$B$16)/7)+1</f>
        <v/>
      </c>
    </row>
    <row r="9">
      <c r="A9" s="11" t="n">
        <v>8</v>
      </c>
      <c r="B9" s="12" t="n">
        <v>46268</v>
      </c>
      <c r="C9" s="9" t="inlineStr">
        <is>
          <t>П2</t>
        </is>
      </c>
      <c r="D9" s="13">
        <f>IFERROR(INDEX(Предметы!$B$2:$B$9,MATCH($C9,Предметы!$A$2:$A$9,0)),"")</f>
        <v/>
      </c>
      <c r="E9" s="9" t="inlineStr">
        <is>
          <t>В7</t>
        </is>
      </c>
      <c r="F9" s="13">
        <f>IFERROR(INDEX('Виды работ'!$B$2:$B$8,MATCH($E9,'Виды работ'!$A$2:$A$8,0)),"")</f>
        <v/>
      </c>
      <c r="G9" s="11">
        <f>IFERROR(INDEX('Виды работ'!$C$2:$C$8,MATCH($E9,'Виды работ'!$A$2:$A$8,0)),0)</f>
        <v/>
      </c>
      <c r="H9" s="9" t="n">
        <v>4</v>
      </c>
      <c r="I9" s="11">
        <f>$H9*$G9</f>
        <v/>
      </c>
      <c r="J9" s="11">
        <f>INT(($B9-Модель!$B$16)/7)+1</f>
        <v/>
      </c>
    </row>
    <row r="10">
      <c r="A10" s="11" t="n">
        <v>9</v>
      </c>
      <c r="B10" s="12" t="n">
        <v>46268</v>
      </c>
      <c r="C10" s="9" t="inlineStr">
        <is>
          <t>П4</t>
        </is>
      </c>
      <c r="D10" s="13">
        <f>IFERROR(INDEX(Предметы!$B$2:$B$9,MATCH($C10,Предметы!$A$2:$A$9,0)),"")</f>
        <v/>
      </c>
      <c r="E10" s="9" t="inlineStr">
        <is>
          <t>В5</t>
        </is>
      </c>
      <c r="F10" s="13">
        <f>IFERROR(INDEX('Виды работ'!$B$2:$B$8,MATCH($E10,'Виды работ'!$A$2:$A$8,0)),"")</f>
        <v/>
      </c>
      <c r="G10" s="11">
        <f>IFERROR(INDEX('Виды работ'!$C$2:$C$8,MATCH($E10,'Виды работ'!$A$2:$A$8,0)),0)</f>
        <v/>
      </c>
      <c r="H10" s="9" t="n">
        <v>3</v>
      </c>
      <c r="I10" s="11">
        <f>$H10*$G10</f>
        <v/>
      </c>
      <c r="J10" s="11">
        <f>INT(($B10-Модель!$B$16)/7)+1</f>
        <v/>
      </c>
    </row>
    <row r="11">
      <c r="A11" s="11" t="n">
        <v>10</v>
      </c>
      <c r="B11" s="12" t="n">
        <v>46268</v>
      </c>
      <c r="C11" s="9" t="inlineStr">
        <is>
          <t>П7</t>
        </is>
      </c>
      <c r="D11" s="13">
        <f>IFERROR(INDEX(Предметы!$B$2:$B$9,MATCH($C11,Предметы!$A$2:$A$9,0)),"")</f>
        <v/>
      </c>
      <c r="E11" s="9" t="inlineStr">
        <is>
          <t>В5</t>
        </is>
      </c>
      <c r="F11" s="13">
        <f>IFERROR(INDEX('Виды работ'!$B$2:$B$8,MATCH($E11,'Виды работ'!$A$2:$A$8,0)),"")</f>
        <v/>
      </c>
      <c r="G11" s="11">
        <f>IFERROR(INDEX('Виды работ'!$C$2:$C$8,MATCH($E11,'Виды работ'!$A$2:$A$8,0)),0)</f>
        <v/>
      </c>
      <c r="H11" s="9" t="n">
        <v>4</v>
      </c>
      <c r="I11" s="11">
        <f>$H11*$G11</f>
        <v/>
      </c>
      <c r="J11" s="11">
        <f>INT(($B11-Модель!$B$16)/7)+1</f>
        <v/>
      </c>
    </row>
    <row r="12">
      <c r="A12" s="11" t="n">
        <v>11</v>
      </c>
      <c r="B12" s="12" t="n">
        <v>46269</v>
      </c>
      <c r="C12" s="9" t="inlineStr">
        <is>
          <t>П2</t>
        </is>
      </c>
      <c r="D12" s="13">
        <f>IFERROR(INDEX(Предметы!$B$2:$B$9,MATCH($C12,Предметы!$A$2:$A$9,0)),"")</f>
        <v/>
      </c>
      <c r="E12" s="9" t="inlineStr">
        <is>
          <t>В5</t>
        </is>
      </c>
      <c r="F12" s="13">
        <f>IFERROR(INDEX('Виды работ'!$B$2:$B$8,MATCH($E12,'Виды работ'!$A$2:$A$8,0)),"")</f>
        <v/>
      </c>
      <c r="G12" s="11">
        <f>IFERROR(INDEX('Виды работ'!$C$2:$C$8,MATCH($E12,'Виды работ'!$A$2:$A$8,0)),0)</f>
        <v/>
      </c>
      <c r="H12" s="9" t="n">
        <v>4</v>
      </c>
      <c r="I12" s="11">
        <f>$H12*$G12</f>
        <v/>
      </c>
      <c r="J12" s="11">
        <f>INT(($B12-Модель!$B$16)/7)+1</f>
        <v/>
      </c>
    </row>
    <row r="13">
      <c r="A13" s="11" t="n">
        <v>12</v>
      </c>
      <c r="B13" s="12" t="n">
        <v>46269</v>
      </c>
      <c r="C13" s="9" t="inlineStr">
        <is>
          <t>П4</t>
        </is>
      </c>
      <c r="D13" s="13">
        <f>IFERROR(INDEX(Предметы!$B$2:$B$9,MATCH($C13,Предметы!$A$2:$A$9,0)),"")</f>
        <v/>
      </c>
      <c r="E13" s="9" t="inlineStr">
        <is>
          <t>В1</t>
        </is>
      </c>
      <c r="F13" s="13">
        <f>IFERROR(INDEX('Виды работ'!$B$2:$B$8,MATCH($E13,'Виды работ'!$A$2:$A$8,0)),"")</f>
        <v/>
      </c>
      <c r="G13" s="11">
        <f>IFERROR(INDEX('Виды работ'!$C$2:$C$8,MATCH($E13,'Виды работ'!$A$2:$A$8,0)),0)</f>
        <v/>
      </c>
      <c r="H13" s="9" t="n">
        <v>4</v>
      </c>
      <c r="I13" s="11">
        <f>$H13*$G13</f>
        <v/>
      </c>
      <c r="J13" s="11">
        <f>INT(($B13-Модель!$B$16)/7)+1</f>
        <v/>
      </c>
    </row>
    <row r="14">
      <c r="A14" s="11" t="n">
        <v>13</v>
      </c>
      <c r="B14" s="12" t="n">
        <v>46269</v>
      </c>
      <c r="C14" s="9" t="inlineStr">
        <is>
          <t>П6</t>
        </is>
      </c>
      <c r="D14" s="13">
        <f>IFERROR(INDEX(Предметы!$B$2:$B$9,MATCH($C14,Предметы!$A$2:$A$9,0)),"")</f>
        <v/>
      </c>
      <c r="E14" s="9" t="inlineStr">
        <is>
          <t>В3</t>
        </is>
      </c>
      <c r="F14" s="13">
        <f>IFERROR(INDEX('Виды работ'!$B$2:$B$8,MATCH($E14,'Виды работ'!$A$2:$A$8,0)),"")</f>
        <v/>
      </c>
      <c r="G14" s="11">
        <f>IFERROR(INDEX('Виды работ'!$C$2:$C$8,MATCH($E14,'Виды работ'!$A$2:$A$8,0)),0)</f>
        <v/>
      </c>
      <c r="H14" s="9" t="n">
        <v>4</v>
      </c>
      <c r="I14" s="11">
        <f>$H14*$G14</f>
        <v/>
      </c>
      <c r="J14" s="11">
        <f>INT(($B14-Модель!$B$16)/7)+1</f>
        <v/>
      </c>
    </row>
    <row r="15">
      <c r="A15" s="11" t="n">
        <v>14</v>
      </c>
      <c r="B15" s="12" t="n">
        <v>46269</v>
      </c>
      <c r="C15" s="9" t="inlineStr">
        <is>
          <t>П8</t>
        </is>
      </c>
      <c r="D15" s="13">
        <f>IFERROR(INDEX(Предметы!$B$2:$B$9,MATCH($C15,Предметы!$A$2:$A$9,0)),"")</f>
        <v/>
      </c>
      <c r="E15" s="9" t="inlineStr">
        <is>
          <t>В4</t>
        </is>
      </c>
      <c r="F15" s="13">
        <f>IFERROR(INDEX('Виды работ'!$B$2:$B$8,MATCH($E15,'Виды работ'!$A$2:$A$8,0)),"")</f>
        <v/>
      </c>
      <c r="G15" s="11">
        <f>IFERROR(INDEX('Виды работ'!$C$2:$C$8,MATCH($E15,'Виды работ'!$A$2:$A$8,0)),0)</f>
        <v/>
      </c>
      <c r="H15" s="9" t="n">
        <v>5</v>
      </c>
      <c r="I15" s="11">
        <f>$H15*$G15</f>
        <v/>
      </c>
      <c r="J15" s="11">
        <f>INT(($B15-Модель!$B$16)/7)+1</f>
        <v/>
      </c>
    </row>
    <row r="16">
      <c r="A16" s="11" t="n">
        <v>15</v>
      </c>
      <c r="B16" s="12" t="n">
        <v>46272</v>
      </c>
      <c r="C16" s="9" t="inlineStr">
        <is>
          <t>П1</t>
        </is>
      </c>
      <c r="D16" s="13">
        <f>IFERROR(INDEX(Предметы!$B$2:$B$9,MATCH($C16,Предметы!$A$2:$A$9,0)),"")</f>
        <v/>
      </c>
      <c r="E16" s="9" t="inlineStr">
        <is>
          <t>В3</t>
        </is>
      </c>
      <c r="F16" s="13">
        <f>IFERROR(INDEX('Виды работ'!$B$2:$B$8,MATCH($E16,'Виды работ'!$A$2:$A$8,0)),"")</f>
        <v/>
      </c>
      <c r="G16" s="11">
        <f>IFERROR(INDEX('Виды работ'!$C$2:$C$8,MATCH($E16,'Виды работ'!$A$2:$A$8,0)),0)</f>
        <v/>
      </c>
      <c r="H16" s="9" t="n">
        <v>5</v>
      </c>
      <c r="I16" s="11">
        <f>$H16*$G16</f>
        <v/>
      </c>
      <c r="J16" s="11">
        <f>INT(($B16-Модель!$B$16)/7)+1</f>
        <v/>
      </c>
    </row>
    <row r="17">
      <c r="A17" s="11" t="n">
        <v>16</v>
      </c>
      <c r="B17" s="12" t="n">
        <v>46272</v>
      </c>
      <c r="C17" s="9" t="inlineStr">
        <is>
          <t>П3</t>
        </is>
      </c>
      <c r="D17" s="13">
        <f>IFERROR(INDEX(Предметы!$B$2:$B$9,MATCH($C17,Предметы!$A$2:$A$9,0)),"")</f>
        <v/>
      </c>
      <c r="E17" s="9" t="inlineStr">
        <is>
          <t>В4</t>
        </is>
      </c>
      <c r="F17" s="13">
        <f>IFERROR(INDEX('Виды работ'!$B$2:$B$8,MATCH($E17,'Виды работ'!$A$2:$A$8,0)),"")</f>
        <v/>
      </c>
      <c r="G17" s="11">
        <f>IFERROR(INDEX('Виды работ'!$C$2:$C$8,MATCH($E17,'Виды работ'!$A$2:$A$8,0)),0)</f>
        <v/>
      </c>
      <c r="H17" s="9" t="n">
        <v>4</v>
      </c>
      <c r="I17" s="11">
        <f>$H17*$G17</f>
        <v/>
      </c>
      <c r="J17" s="11">
        <f>INT(($B17-Модель!$B$16)/7)+1</f>
        <v/>
      </c>
    </row>
    <row r="18">
      <c r="A18" s="11" t="n">
        <v>17</v>
      </c>
      <c r="B18" s="12" t="n">
        <v>46272</v>
      </c>
      <c r="C18" s="9" t="inlineStr">
        <is>
          <t>П6</t>
        </is>
      </c>
      <c r="D18" s="13">
        <f>IFERROR(INDEX(Предметы!$B$2:$B$9,MATCH($C18,Предметы!$A$2:$A$9,0)),"")</f>
        <v/>
      </c>
      <c r="E18" s="9" t="inlineStr">
        <is>
          <t>В2</t>
        </is>
      </c>
      <c r="F18" s="13">
        <f>IFERROR(INDEX('Виды работ'!$B$2:$B$8,MATCH($E18,'Виды работ'!$A$2:$A$8,0)),"")</f>
        <v/>
      </c>
      <c r="G18" s="11">
        <f>IFERROR(INDEX('Виды работ'!$C$2:$C$8,MATCH($E18,'Виды работ'!$A$2:$A$8,0)),0)</f>
        <v/>
      </c>
      <c r="H18" s="9" t="n">
        <v>4</v>
      </c>
      <c r="I18" s="11">
        <f>$H18*$G18</f>
        <v/>
      </c>
      <c r="J18" s="11">
        <f>INT(($B18-Модель!$B$16)/7)+1</f>
        <v/>
      </c>
    </row>
    <row r="19">
      <c r="A19" s="11" t="n">
        <v>18</v>
      </c>
      <c r="B19" s="12" t="n">
        <v>46272</v>
      </c>
      <c r="C19" s="9" t="inlineStr">
        <is>
          <t>П8</t>
        </is>
      </c>
      <c r="D19" s="13">
        <f>IFERROR(INDEX(Предметы!$B$2:$B$9,MATCH($C19,Предметы!$A$2:$A$9,0)),"")</f>
        <v/>
      </c>
      <c r="E19" s="9" t="inlineStr">
        <is>
          <t>В7</t>
        </is>
      </c>
      <c r="F19" s="13">
        <f>IFERROR(INDEX('Виды работ'!$B$2:$B$8,MATCH($E19,'Виды работ'!$A$2:$A$8,0)),"")</f>
        <v/>
      </c>
      <c r="G19" s="11">
        <f>IFERROR(INDEX('Виды работ'!$C$2:$C$8,MATCH($E19,'Виды работ'!$A$2:$A$8,0)),0)</f>
        <v/>
      </c>
      <c r="H19" s="9" t="n">
        <v>5</v>
      </c>
      <c r="I19" s="11">
        <f>$H19*$G19</f>
        <v/>
      </c>
      <c r="J19" s="11">
        <f>INT(($B19-Модель!$B$16)/7)+1</f>
        <v/>
      </c>
    </row>
    <row r="20">
      <c r="A20" s="11" t="n">
        <v>19</v>
      </c>
      <c r="B20" s="12" t="n">
        <v>46273</v>
      </c>
      <c r="C20" s="9" t="inlineStr">
        <is>
          <t>П1</t>
        </is>
      </c>
      <c r="D20" s="13">
        <f>IFERROR(INDEX(Предметы!$B$2:$B$9,MATCH($C20,Предметы!$A$2:$A$9,0)),"")</f>
        <v/>
      </c>
      <c r="E20" s="9" t="inlineStr">
        <is>
          <t>В2</t>
        </is>
      </c>
      <c r="F20" s="13">
        <f>IFERROR(INDEX('Виды работ'!$B$2:$B$8,MATCH($E20,'Виды работ'!$A$2:$A$8,0)),"")</f>
        <v/>
      </c>
      <c r="G20" s="11">
        <f>IFERROR(INDEX('Виды работ'!$C$2:$C$8,MATCH($E20,'Виды работ'!$A$2:$A$8,0)),0)</f>
        <v/>
      </c>
      <c r="H20" s="9" t="n">
        <v>5</v>
      </c>
      <c r="I20" s="11">
        <f>$H20*$G20</f>
        <v/>
      </c>
      <c r="J20" s="11">
        <f>INT(($B20-Модель!$B$16)/7)+1</f>
        <v/>
      </c>
    </row>
    <row r="21">
      <c r="A21" s="11" t="n">
        <v>20</v>
      </c>
      <c r="B21" s="12" t="n">
        <v>46273</v>
      </c>
      <c r="C21" s="9" t="inlineStr">
        <is>
          <t>П3</t>
        </is>
      </c>
      <c r="D21" s="13">
        <f>IFERROR(INDEX(Предметы!$B$2:$B$9,MATCH($C21,Предметы!$A$2:$A$9,0)),"")</f>
        <v/>
      </c>
      <c r="E21" s="9" t="inlineStr">
        <is>
          <t>В7</t>
        </is>
      </c>
      <c r="F21" s="13">
        <f>IFERROR(INDEX('Виды работ'!$B$2:$B$8,MATCH($E21,'Виды работ'!$A$2:$A$8,0)),"")</f>
        <v/>
      </c>
      <c r="G21" s="11">
        <f>IFERROR(INDEX('Виды работ'!$C$2:$C$8,MATCH($E21,'Виды работ'!$A$2:$A$8,0)),0)</f>
        <v/>
      </c>
      <c r="H21" s="9" t="n">
        <v>3</v>
      </c>
      <c r="I21" s="11">
        <f>$H21*$G21</f>
        <v/>
      </c>
      <c r="J21" s="11">
        <f>INT(($B21-Модель!$B$16)/7)+1</f>
        <v/>
      </c>
    </row>
    <row r="22">
      <c r="A22" s="11" t="n">
        <v>21</v>
      </c>
      <c r="B22" s="12" t="n">
        <v>46273</v>
      </c>
      <c r="C22" s="9" t="inlineStr">
        <is>
          <t>П5</t>
        </is>
      </c>
      <c r="D22" s="13">
        <f>IFERROR(INDEX(Предметы!$B$2:$B$9,MATCH($C22,Предметы!$A$2:$A$9,0)),"")</f>
        <v/>
      </c>
      <c r="E22" s="9" t="inlineStr">
        <is>
          <t>В5</t>
        </is>
      </c>
      <c r="F22" s="13">
        <f>IFERROR(INDEX('Виды работ'!$B$2:$B$8,MATCH($E22,'Виды работ'!$A$2:$A$8,0)),"")</f>
        <v/>
      </c>
      <c r="G22" s="11">
        <f>IFERROR(INDEX('Виды работ'!$C$2:$C$8,MATCH($E22,'Виды работ'!$A$2:$A$8,0)),0)</f>
        <v/>
      </c>
      <c r="H22" s="9" t="n">
        <v>4</v>
      </c>
      <c r="I22" s="11">
        <f>$H22*$G22</f>
        <v/>
      </c>
      <c r="J22" s="11">
        <f>INT(($B22-Модель!$B$16)/7)+1</f>
        <v/>
      </c>
    </row>
    <row r="23">
      <c r="A23" s="11" t="n">
        <v>22</v>
      </c>
      <c r="B23" s="12" t="n">
        <v>46273</v>
      </c>
      <c r="C23" s="9" t="inlineStr">
        <is>
          <t>П8</t>
        </is>
      </c>
      <c r="D23" s="13">
        <f>IFERROR(INDEX(Предметы!$B$2:$B$9,MATCH($C23,Предметы!$A$2:$A$9,0)),"")</f>
        <v/>
      </c>
      <c r="E23" s="9" t="inlineStr">
        <is>
          <t>В5</t>
        </is>
      </c>
      <c r="F23" s="13">
        <f>IFERROR(INDEX('Виды работ'!$B$2:$B$8,MATCH($E23,'Виды работ'!$A$2:$A$8,0)),"")</f>
        <v/>
      </c>
      <c r="G23" s="11">
        <f>IFERROR(INDEX('Виды работ'!$C$2:$C$8,MATCH($E23,'Виды работ'!$A$2:$A$8,0)),0)</f>
        <v/>
      </c>
      <c r="H23" s="9" t="n">
        <v>5</v>
      </c>
      <c r="I23" s="11">
        <f>$H23*$G23</f>
        <v/>
      </c>
      <c r="J23" s="11">
        <f>INT(($B23-Модель!$B$16)/7)+1</f>
        <v/>
      </c>
    </row>
    <row r="24">
      <c r="A24" s="11" t="n">
        <v>23</v>
      </c>
      <c r="B24" s="12" t="n">
        <v>46274</v>
      </c>
      <c r="C24" s="9" t="inlineStr">
        <is>
          <t>П3</t>
        </is>
      </c>
      <c r="D24" s="13">
        <f>IFERROR(INDEX(Предметы!$B$2:$B$9,MATCH($C24,Предметы!$A$2:$A$9,0)),"")</f>
        <v/>
      </c>
      <c r="E24" s="9" t="inlineStr">
        <is>
          <t>В5</t>
        </is>
      </c>
      <c r="F24" s="13">
        <f>IFERROR(INDEX('Виды работ'!$B$2:$B$8,MATCH($E24,'Виды работ'!$A$2:$A$8,0)),"")</f>
        <v/>
      </c>
      <c r="G24" s="11">
        <f>IFERROR(INDEX('Виды работ'!$C$2:$C$8,MATCH($E24,'Виды работ'!$A$2:$A$8,0)),0)</f>
        <v/>
      </c>
      <c r="H24" s="9" t="n">
        <v>3</v>
      </c>
      <c r="I24" s="11">
        <f>$H24*$G24</f>
        <v/>
      </c>
      <c r="J24" s="11">
        <f>INT(($B24-Модель!$B$16)/7)+1</f>
        <v/>
      </c>
    </row>
    <row r="25">
      <c r="A25" s="11" t="n">
        <v>24</v>
      </c>
      <c r="B25" s="12" t="n">
        <v>46274</v>
      </c>
      <c r="C25" s="9" t="inlineStr">
        <is>
          <t>П5</t>
        </is>
      </c>
      <c r="D25" s="13">
        <f>IFERROR(INDEX(Предметы!$B$2:$B$9,MATCH($C25,Предметы!$A$2:$A$9,0)),"")</f>
        <v/>
      </c>
      <c r="E25" s="9" t="inlineStr">
        <is>
          <t>В1</t>
        </is>
      </c>
      <c r="F25" s="13">
        <f>IFERROR(INDEX('Виды работ'!$B$2:$B$8,MATCH($E25,'Виды работ'!$A$2:$A$8,0)),"")</f>
        <v/>
      </c>
      <c r="G25" s="11">
        <f>IFERROR(INDEX('Виды работ'!$C$2:$C$8,MATCH($E25,'Виды работ'!$A$2:$A$8,0)),0)</f>
        <v/>
      </c>
      <c r="H25" s="9" t="n">
        <v>3</v>
      </c>
      <c r="I25" s="11">
        <f>$H25*$G25</f>
        <v/>
      </c>
      <c r="J25" s="11">
        <f>INT(($B25-Модель!$B$16)/7)+1</f>
        <v/>
      </c>
    </row>
    <row r="26">
      <c r="A26" s="11" t="n">
        <v>25</v>
      </c>
      <c r="B26" s="12" t="n">
        <v>46274</v>
      </c>
      <c r="C26" s="9" t="inlineStr">
        <is>
          <t>П7</t>
        </is>
      </c>
      <c r="D26" s="13">
        <f>IFERROR(INDEX(Предметы!$B$2:$B$9,MATCH($C26,Предметы!$A$2:$A$9,0)),"")</f>
        <v/>
      </c>
      <c r="E26" s="9" t="inlineStr">
        <is>
          <t>В3</t>
        </is>
      </c>
      <c r="F26" s="13">
        <f>IFERROR(INDEX('Виды работ'!$B$2:$B$8,MATCH($E26,'Виды работ'!$A$2:$A$8,0)),"")</f>
        <v/>
      </c>
      <c r="G26" s="11">
        <f>IFERROR(INDEX('Виды работ'!$C$2:$C$8,MATCH($E26,'Виды работ'!$A$2:$A$8,0)),0)</f>
        <v/>
      </c>
      <c r="H26" s="9" t="n">
        <v>5</v>
      </c>
      <c r="I26" s="11">
        <f>$H26*$G26</f>
        <v/>
      </c>
      <c r="J26" s="11">
        <f>INT(($B26-Модель!$B$16)/7)+1</f>
        <v/>
      </c>
    </row>
    <row r="27">
      <c r="A27" s="11" t="n">
        <v>26</v>
      </c>
      <c r="B27" s="12" t="n">
        <v>46275</v>
      </c>
      <c r="C27" s="9" t="inlineStr">
        <is>
          <t>П2</t>
        </is>
      </c>
      <c r="D27" s="13">
        <f>IFERROR(INDEX(Предметы!$B$2:$B$9,MATCH($C27,Предметы!$A$2:$A$9,0)),"")</f>
        <v/>
      </c>
      <c r="E27" s="9" t="inlineStr">
        <is>
          <t>В3</t>
        </is>
      </c>
      <c r="F27" s="13">
        <f>IFERROR(INDEX('Виды работ'!$B$2:$B$8,MATCH($E27,'Виды работ'!$A$2:$A$8,0)),"")</f>
        <v/>
      </c>
      <c r="G27" s="11">
        <f>IFERROR(INDEX('Виды работ'!$C$2:$C$8,MATCH($E27,'Виды работ'!$A$2:$A$8,0)),0)</f>
        <v/>
      </c>
      <c r="H27" s="9" t="n">
        <v>4</v>
      </c>
      <c r="I27" s="11">
        <f>$H27*$G27</f>
        <v/>
      </c>
      <c r="J27" s="11">
        <f>INT(($B27-Модель!$B$16)/7)+1</f>
        <v/>
      </c>
    </row>
    <row r="28">
      <c r="A28" s="11" t="n">
        <v>27</v>
      </c>
      <c r="B28" s="12" t="n">
        <v>46275</v>
      </c>
      <c r="C28" s="9" t="inlineStr">
        <is>
          <t>П4</t>
        </is>
      </c>
      <c r="D28" s="13">
        <f>IFERROR(INDEX(Предметы!$B$2:$B$9,MATCH($C28,Предметы!$A$2:$A$9,0)),"")</f>
        <v/>
      </c>
      <c r="E28" s="9" t="inlineStr">
        <is>
          <t>В4</t>
        </is>
      </c>
      <c r="F28" s="13">
        <f>IFERROR(INDEX('Виды работ'!$B$2:$B$8,MATCH($E28,'Виды работ'!$A$2:$A$8,0)),"")</f>
        <v/>
      </c>
      <c r="G28" s="11">
        <f>IFERROR(INDEX('Виды работ'!$C$2:$C$8,MATCH($E28,'Виды работ'!$A$2:$A$8,0)),0)</f>
        <v/>
      </c>
      <c r="H28" s="9" t="n">
        <v>4</v>
      </c>
      <c r="I28" s="11">
        <f>$H28*$G28</f>
        <v/>
      </c>
      <c r="J28" s="11">
        <f>INT(($B28-Модель!$B$16)/7)+1</f>
        <v/>
      </c>
    </row>
    <row r="29">
      <c r="A29" s="11" t="n">
        <v>28</v>
      </c>
      <c r="B29" s="12" t="n">
        <v>46275</v>
      </c>
      <c r="C29" s="9" t="inlineStr">
        <is>
          <t>П7</t>
        </is>
      </c>
      <c r="D29" s="13">
        <f>IFERROR(INDEX(Предметы!$B$2:$B$9,MATCH($C29,Предметы!$A$2:$A$9,0)),"")</f>
        <v/>
      </c>
      <c r="E29" s="9" t="inlineStr">
        <is>
          <t>В2</t>
        </is>
      </c>
      <c r="F29" s="13">
        <f>IFERROR(INDEX('Виды работ'!$B$2:$B$8,MATCH($E29,'Виды работ'!$A$2:$A$8,0)),"")</f>
        <v/>
      </c>
      <c r="G29" s="11">
        <f>IFERROR(INDEX('Виды работ'!$C$2:$C$8,MATCH($E29,'Виды работ'!$A$2:$A$8,0)),0)</f>
        <v/>
      </c>
      <c r="H29" s="9" t="n">
        <v>5</v>
      </c>
      <c r="I29" s="11">
        <f>$H29*$G29</f>
        <v/>
      </c>
      <c r="J29" s="11">
        <f>INT(($B29-Модель!$B$16)/7)+1</f>
        <v/>
      </c>
    </row>
    <row r="30">
      <c r="A30" s="11" t="n">
        <v>29</v>
      </c>
      <c r="B30" s="12" t="n">
        <v>46276</v>
      </c>
      <c r="C30" s="9" t="inlineStr">
        <is>
          <t>П2</t>
        </is>
      </c>
      <c r="D30" s="13">
        <f>IFERROR(INDEX(Предметы!$B$2:$B$9,MATCH($C30,Предметы!$A$2:$A$9,0)),"")</f>
        <v/>
      </c>
      <c r="E30" s="9" t="inlineStr">
        <is>
          <t>В2</t>
        </is>
      </c>
      <c r="F30" s="13">
        <f>IFERROR(INDEX('Виды работ'!$B$2:$B$8,MATCH($E30,'Виды работ'!$A$2:$A$8,0)),"")</f>
        <v/>
      </c>
      <c r="G30" s="11">
        <f>IFERROR(INDEX('Виды работ'!$C$2:$C$8,MATCH($E30,'Виды работ'!$A$2:$A$8,0)),0)</f>
        <v/>
      </c>
      <c r="H30" s="9" t="n">
        <v>5</v>
      </c>
      <c r="I30" s="11">
        <f>$H30*$G30</f>
        <v/>
      </c>
      <c r="J30" s="11">
        <f>INT(($B30-Модель!$B$16)/7)+1</f>
        <v/>
      </c>
    </row>
    <row r="31">
      <c r="A31" s="11" t="n">
        <v>30</v>
      </c>
      <c r="B31" s="12" t="n">
        <v>46276</v>
      </c>
      <c r="C31" s="9" t="inlineStr">
        <is>
          <t>П4</t>
        </is>
      </c>
      <c r="D31" s="13">
        <f>IFERROR(INDEX(Предметы!$B$2:$B$9,MATCH($C31,Предметы!$A$2:$A$9,0)),"")</f>
        <v/>
      </c>
      <c r="E31" s="9" t="inlineStr">
        <is>
          <t>В7</t>
        </is>
      </c>
      <c r="F31" s="13">
        <f>IFERROR(INDEX('Виды работ'!$B$2:$B$8,MATCH($E31,'Виды работ'!$A$2:$A$8,0)),"")</f>
        <v/>
      </c>
      <c r="G31" s="11">
        <f>IFERROR(INDEX('Виды работ'!$C$2:$C$8,MATCH($E31,'Виды работ'!$A$2:$A$8,0)),0)</f>
        <v/>
      </c>
      <c r="H31" s="9" t="n">
        <v>4</v>
      </c>
      <c r="I31" s="11">
        <f>$H31*$G31</f>
        <v/>
      </c>
      <c r="J31" s="11">
        <f>INT(($B31-Модель!$B$16)/7)+1</f>
        <v/>
      </c>
    </row>
    <row r="32">
      <c r="A32" s="11" t="n">
        <v>31</v>
      </c>
      <c r="B32" s="12" t="n">
        <v>46276</v>
      </c>
      <c r="C32" s="9" t="inlineStr">
        <is>
          <t>П6</t>
        </is>
      </c>
      <c r="D32" s="13">
        <f>IFERROR(INDEX(Предметы!$B$2:$B$9,MATCH($C32,Предметы!$A$2:$A$9,0)),"")</f>
        <v/>
      </c>
      <c r="E32" s="9" t="inlineStr">
        <is>
          <t>В5</t>
        </is>
      </c>
      <c r="F32" s="13">
        <f>IFERROR(INDEX('Виды работ'!$B$2:$B$8,MATCH($E32,'Виды работ'!$A$2:$A$8,0)),"")</f>
        <v/>
      </c>
      <c r="G32" s="11">
        <f>IFERROR(INDEX('Виды работ'!$C$2:$C$8,MATCH($E32,'Виды работ'!$A$2:$A$8,0)),0)</f>
        <v/>
      </c>
      <c r="H32" s="9" t="n">
        <v>5</v>
      </c>
      <c r="I32" s="11">
        <f>$H32*$G32</f>
        <v/>
      </c>
      <c r="J32" s="11">
        <f>INT(($B32-Модель!$B$16)/7)+1</f>
        <v/>
      </c>
    </row>
    <row r="33">
      <c r="A33" s="11" t="n">
        <v>32</v>
      </c>
      <c r="B33" s="12" t="n">
        <v>46279</v>
      </c>
      <c r="C33" s="9" t="inlineStr">
        <is>
          <t>П1</t>
        </is>
      </c>
      <c r="D33" s="13">
        <f>IFERROR(INDEX(Предметы!$B$2:$B$9,MATCH($C33,Предметы!$A$2:$A$9,0)),"")</f>
        <v/>
      </c>
      <c r="E33" s="9" t="inlineStr">
        <is>
          <t>В5</t>
        </is>
      </c>
      <c r="F33" s="13">
        <f>IFERROR(INDEX('Виды работ'!$B$2:$B$8,MATCH($E33,'Виды работ'!$A$2:$A$8,0)),"")</f>
        <v/>
      </c>
      <c r="G33" s="11">
        <f>IFERROR(INDEX('Виды работ'!$C$2:$C$8,MATCH($E33,'Виды работ'!$A$2:$A$8,0)),0)</f>
        <v/>
      </c>
      <c r="H33" s="9" t="n">
        <v>4</v>
      </c>
      <c r="I33" s="11">
        <f>$H33*$G33</f>
        <v/>
      </c>
      <c r="J33" s="11">
        <f>INT(($B33-Модель!$B$16)/7)+1</f>
        <v/>
      </c>
    </row>
    <row r="34">
      <c r="A34" s="11" t="n">
        <v>33</v>
      </c>
      <c r="B34" s="12" t="n">
        <v>46279</v>
      </c>
      <c r="C34" s="9" t="inlineStr">
        <is>
          <t>П4</t>
        </is>
      </c>
      <c r="D34" s="13">
        <f>IFERROR(INDEX(Предметы!$B$2:$B$9,MATCH($C34,Предметы!$A$2:$A$9,0)),"")</f>
        <v/>
      </c>
      <c r="E34" s="9" t="inlineStr">
        <is>
          <t>В5</t>
        </is>
      </c>
      <c r="F34" s="13">
        <f>IFERROR(INDEX('Виды работ'!$B$2:$B$8,MATCH($E34,'Виды работ'!$A$2:$A$8,0)),"")</f>
        <v/>
      </c>
      <c r="G34" s="11">
        <f>IFERROR(INDEX('Виды работ'!$C$2:$C$8,MATCH($E34,'Виды работ'!$A$2:$A$8,0)),0)</f>
        <v/>
      </c>
      <c r="H34" s="9" t="n">
        <v>4</v>
      </c>
      <c r="I34" s="11">
        <f>$H34*$G34</f>
        <v/>
      </c>
      <c r="J34" s="11">
        <f>INT(($B34-Модель!$B$16)/7)+1</f>
        <v/>
      </c>
    </row>
    <row r="35">
      <c r="A35" s="11" t="n">
        <v>34</v>
      </c>
      <c r="B35" s="12" t="n">
        <v>46279</v>
      </c>
      <c r="C35" s="9" t="inlineStr">
        <is>
          <t>П6</t>
        </is>
      </c>
      <c r="D35" s="13">
        <f>IFERROR(INDEX(Предметы!$B$2:$B$9,MATCH($C35,Предметы!$A$2:$A$9,0)),"")</f>
        <v/>
      </c>
      <c r="E35" s="9" t="inlineStr">
        <is>
          <t>В1</t>
        </is>
      </c>
      <c r="F35" s="13">
        <f>IFERROR(INDEX('Виды работ'!$B$2:$B$8,MATCH($E35,'Виды работ'!$A$2:$A$8,0)),"")</f>
        <v/>
      </c>
      <c r="G35" s="11">
        <f>IFERROR(INDEX('Виды работ'!$C$2:$C$8,MATCH($E35,'Виды работ'!$A$2:$A$8,0)),0)</f>
        <v/>
      </c>
      <c r="H35" s="9" t="n">
        <v>5</v>
      </c>
      <c r="I35" s="11">
        <f>$H35*$G35</f>
        <v/>
      </c>
      <c r="J35" s="11">
        <f>INT(($B35-Модель!$B$16)/7)+1</f>
        <v/>
      </c>
    </row>
    <row r="36">
      <c r="A36" s="11" t="n">
        <v>35</v>
      </c>
      <c r="B36" s="12" t="n">
        <v>46279</v>
      </c>
      <c r="C36" s="9" t="inlineStr">
        <is>
          <t>П8</t>
        </is>
      </c>
      <c r="D36" s="13">
        <f>IFERROR(INDEX(Предметы!$B$2:$B$9,MATCH($C36,Предметы!$A$2:$A$9,0)),"")</f>
        <v/>
      </c>
      <c r="E36" s="9" t="inlineStr">
        <is>
          <t>В3</t>
        </is>
      </c>
      <c r="F36" s="13">
        <f>IFERROR(INDEX('Виды работ'!$B$2:$B$8,MATCH($E36,'Виды работ'!$A$2:$A$8,0)),"")</f>
        <v/>
      </c>
      <c r="G36" s="11">
        <f>IFERROR(INDEX('Виды работ'!$C$2:$C$8,MATCH($E36,'Виды работ'!$A$2:$A$8,0)),0)</f>
        <v/>
      </c>
      <c r="H36" s="9" t="n">
        <v>4</v>
      </c>
      <c r="I36" s="11">
        <f>$H36*$G36</f>
        <v/>
      </c>
      <c r="J36" s="11">
        <f>INT(($B36-Модель!$B$16)/7)+1</f>
        <v/>
      </c>
    </row>
    <row r="37">
      <c r="A37" s="11" t="n">
        <v>36</v>
      </c>
      <c r="B37" s="12" t="n">
        <v>46280</v>
      </c>
      <c r="C37" s="9" t="inlineStr">
        <is>
          <t>П1</t>
        </is>
      </c>
      <c r="D37" s="13">
        <f>IFERROR(INDEX(Предметы!$B$2:$B$9,MATCH($C37,Предметы!$A$2:$A$9,0)),"")</f>
        <v/>
      </c>
      <c r="E37" s="9" t="inlineStr">
        <is>
          <t>В1</t>
        </is>
      </c>
      <c r="F37" s="13">
        <f>IFERROR(INDEX('Виды работ'!$B$2:$B$8,MATCH($E37,'Виды работ'!$A$2:$A$8,0)),"")</f>
        <v/>
      </c>
      <c r="G37" s="11">
        <f>IFERROR(INDEX('Виды работ'!$C$2:$C$8,MATCH($E37,'Виды работ'!$A$2:$A$8,0)),0)</f>
        <v/>
      </c>
      <c r="H37" s="9" t="n">
        <v>4</v>
      </c>
      <c r="I37" s="11">
        <f>$H37*$G37</f>
        <v/>
      </c>
      <c r="J37" s="11">
        <f>INT(($B37-Модель!$B$16)/7)+1</f>
        <v/>
      </c>
    </row>
    <row r="38">
      <c r="A38" s="11" t="n">
        <v>37</v>
      </c>
      <c r="B38" s="12" t="n">
        <v>46280</v>
      </c>
      <c r="C38" s="9" t="inlineStr">
        <is>
          <t>П3</t>
        </is>
      </c>
      <c r="D38" s="13">
        <f>IFERROR(INDEX(Предметы!$B$2:$B$9,MATCH($C38,Предметы!$A$2:$A$9,0)),"")</f>
        <v/>
      </c>
      <c r="E38" s="9" t="inlineStr">
        <is>
          <t>В3</t>
        </is>
      </c>
      <c r="F38" s="13">
        <f>IFERROR(INDEX('Виды работ'!$B$2:$B$8,MATCH($E38,'Виды работ'!$A$2:$A$8,0)),"")</f>
        <v/>
      </c>
      <c r="G38" s="11">
        <f>IFERROR(INDEX('Виды работ'!$C$2:$C$8,MATCH($E38,'Виды работ'!$A$2:$A$8,0)),0)</f>
        <v/>
      </c>
      <c r="H38" s="9" t="n">
        <v>4</v>
      </c>
      <c r="I38" s="11">
        <f>$H38*$G38</f>
        <v/>
      </c>
      <c r="J38" s="11">
        <f>INT(($B38-Модель!$B$16)/7)+1</f>
        <v/>
      </c>
    </row>
    <row r="39">
      <c r="A39" s="11" t="n">
        <v>38</v>
      </c>
      <c r="B39" s="12" t="n">
        <v>46280</v>
      </c>
      <c r="C39" s="9" t="inlineStr">
        <is>
          <t>П5</t>
        </is>
      </c>
      <c r="D39" s="13">
        <f>IFERROR(INDEX(Предметы!$B$2:$B$9,MATCH($C39,Предметы!$A$2:$A$9,0)),"")</f>
        <v/>
      </c>
      <c r="E39" s="9" t="inlineStr">
        <is>
          <t>В4</t>
        </is>
      </c>
      <c r="F39" s="13">
        <f>IFERROR(INDEX('Виды работ'!$B$2:$B$8,MATCH($E39,'Виды работ'!$A$2:$A$8,0)),"")</f>
        <v/>
      </c>
      <c r="G39" s="11">
        <f>IFERROR(INDEX('Виды работ'!$C$2:$C$8,MATCH($E39,'Виды работ'!$A$2:$A$8,0)),0)</f>
        <v/>
      </c>
      <c r="H39" s="9" t="n">
        <v>5</v>
      </c>
      <c r="I39" s="11">
        <f>$H39*$G39</f>
        <v/>
      </c>
      <c r="J39" s="11">
        <f>INT(($B39-Модель!$B$16)/7)+1</f>
        <v/>
      </c>
    </row>
    <row r="40">
      <c r="A40" s="11" t="n">
        <v>39</v>
      </c>
      <c r="B40" s="12" t="n">
        <v>46280</v>
      </c>
      <c r="C40" s="9" t="inlineStr">
        <is>
          <t>П8</t>
        </is>
      </c>
      <c r="D40" s="13">
        <f>IFERROR(INDEX(Предметы!$B$2:$B$9,MATCH($C40,Предметы!$A$2:$A$9,0)),"")</f>
        <v/>
      </c>
      <c r="E40" s="9" t="inlineStr">
        <is>
          <t>В2</t>
        </is>
      </c>
      <c r="F40" s="13">
        <f>IFERROR(INDEX('Виды работ'!$B$2:$B$8,MATCH($E40,'Виды работ'!$A$2:$A$8,0)),"")</f>
        <v/>
      </c>
      <c r="G40" s="11">
        <f>IFERROR(INDEX('Виды работ'!$C$2:$C$8,MATCH($E40,'Виды работ'!$A$2:$A$8,0)),0)</f>
        <v/>
      </c>
      <c r="H40" s="9" t="n">
        <v>5</v>
      </c>
      <c r="I40" s="11">
        <f>$H40*$G40</f>
        <v/>
      </c>
      <c r="J40" s="11">
        <f>INT(($B40-Модель!$B$16)/7)+1</f>
        <v/>
      </c>
    </row>
    <row r="41">
      <c r="A41" s="11" t="n">
        <v>40</v>
      </c>
      <c r="B41" s="12" t="n">
        <v>46281</v>
      </c>
      <c r="C41" s="9" t="inlineStr">
        <is>
          <t>П3</t>
        </is>
      </c>
      <c r="D41" s="13">
        <f>IFERROR(INDEX(Предметы!$B$2:$B$9,MATCH($C41,Предметы!$A$2:$A$9,0)),"")</f>
        <v/>
      </c>
      <c r="E41" s="9" t="inlineStr">
        <is>
          <t>В2</t>
        </is>
      </c>
      <c r="F41" s="13">
        <f>IFERROR(INDEX('Виды работ'!$B$2:$B$8,MATCH($E41,'Виды работ'!$A$2:$A$8,0)),"")</f>
        <v/>
      </c>
      <c r="G41" s="11">
        <f>IFERROR(INDEX('Виды работ'!$C$2:$C$8,MATCH($E41,'Виды работ'!$A$2:$A$8,0)),0)</f>
        <v/>
      </c>
      <c r="H41" s="9" t="n">
        <v>4</v>
      </c>
      <c r="I41" s="11">
        <f>$H41*$G41</f>
        <v/>
      </c>
      <c r="J41" s="11">
        <f>INT(($B41-Модель!$B$16)/7)+1</f>
        <v/>
      </c>
    </row>
    <row r="42">
      <c r="A42" s="11" t="n">
        <v>41</v>
      </c>
      <c r="B42" s="12" t="n">
        <v>46281</v>
      </c>
      <c r="C42" s="9" t="inlineStr">
        <is>
          <t>П5</t>
        </is>
      </c>
      <c r="D42" s="13">
        <f>IFERROR(INDEX(Предметы!$B$2:$B$9,MATCH($C42,Предметы!$A$2:$A$9,0)),"")</f>
        <v/>
      </c>
      <c r="E42" s="9" t="inlineStr">
        <is>
          <t>В7</t>
        </is>
      </c>
      <c r="F42" s="13">
        <f>IFERROR(INDEX('Виды работ'!$B$2:$B$8,MATCH($E42,'Виды работ'!$A$2:$A$8,0)),"")</f>
        <v/>
      </c>
      <c r="G42" s="11">
        <f>IFERROR(INDEX('Виды работ'!$C$2:$C$8,MATCH($E42,'Виды работ'!$A$2:$A$8,0)),0)</f>
        <v/>
      </c>
      <c r="H42" s="9" t="n">
        <v>4</v>
      </c>
      <c r="I42" s="11">
        <f>$H42*$G42</f>
        <v/>
      </c>
      <c r="J42" s="11">
        <f>INT(($B42-Модель!$B$16)/7)+1</f>
        <v/>
      </c>
    </row>
    <row r="43">
      <c r="A43" s="11" t="n">
        <v>42</v>
      </c>
      <c r="B43" s="12" t="n">
        <v>46281</v>
      </c>
      <c r="C43" s="9" t="inlineStr">
        <is>
          <t>П7</t>
        </is>
      </c>
      <c r="D43" s="13">
        <f>IFERROR(INDEX(Предметы!$B$2:$B$9,MATCH($C43,Предметы!$A$2:$A$9,0)),"")</f>
        <v/>
      </c>
      <c r="E43" s="9" t="inlineStr">
        <is>
          <t>В5</t>
        </is>
      </c>
      <c r="F43" s="13">
        <f>IFERROR(INDEX('Виды работ'!$B$2:$B$8,MATCH($E43,'Виды работ'!$A$2:$A$8,0)),"")</f>
        <v/>
      </c>
      <c r="G43" s="11">
        <f>IFERROR(INDEX('Виды работ'!$C$2:$C$8,MATCH($E43,'Виды работ'!$A$2:$A$8,0)),0)</f>
        <v/>
      </c>
      <c r="H43" s="9" t="n">
        <v>4</v>
      </c>
      <c r="I43" s="11">
        <f>$H43*$G43</f>
        <v/>
      </c>
      <c r="J43" s="11">
        <f>INT(($B43-Модель!$B$16)/7)+1</f>
        <v/>
      </c>
    </row>
    <row r="44">
      <c r="A44" s="11" t="n">
        <v>43</v>
      </c>
      <c r="B44" s="12" t="n">
        <v>46282</v>
      </c>
      <c r="C44" s="9" t="inlineStr">
        <is>
          <t>П2</t>
        </is>
      </c>
      <c r="D44" s="13">
        <f>IFERROR(INDEX(Предметы!$B$2:$B$9,MATCH($C44,Предметы!$A$2:$A$9,0)),"")</f>
        <v/>
      </c>
      <c r="E44" s="9" t="inlineStr">
        <is>
          <t>В5</t>
        </is>
      </c>
      <c r="F44" s="13">
        <f>IFERROR(INDEX('Виды работ'!$B$2:$B$8,MATCH($E44,'Виды работ'!$A$2:$A$8,0)),"")</f>
        <v/>
      </c>
      <c r="G44" s="11">
        <f>IFERROR(INDEX('Виды работ'!$C$2:$C$8,MATCH($E44,'Виды работ'!$A$2:$A$8,0)),0)</f>
        <v/>
      </c>
      <c r="H44" s="9" t="n">
        <v>5</v>
      </c>
      <c r="I44" s="11">
        <f>$H44*$G44</f>
        <v/>
      </c>
      <c r="J44" s="11">
        <f>INT(($B44-Модель!$B$16)/7)+1</f>
        <v/>
      </c>
    </row>
    <row r="45">
      <c r="A45" s="11" t="n">
        <v>44</v>
      </c>
      <c r="B45" s="12" t="n">
        <v>46282</v>
      </c>
      <c r="C45" s="9" t="inlineStr">
        <is>
          <t>П5</t>
        </is>
      </c>
      <c r="D45" s="13">
        <f>IFERROR(INDEX(Предметы!$B$2:$B$9,MATCH($C45,Предметы!$A$2:$A$9,0)),"")</f>
        <v/>
      </c>
      <c r="E45" s="9" t="inlineStr">
        <is>
          <t>В5</t>
        </is>
      </c>
      <c r="F45" s="13">
        <f>IFERROR(INDEX('Виды работ'!$B$2:$B$8,MATCH($E45,'Виды работ'!$A$2:$A$8,0)),"")</f>
        <v/>
      </c>
      <c r="G45" s="11">
        <f>IFERROR(INDEX('Виды работ'!$C$2:$C$8,MATCH($E45,'Виды работ'!$A$2:$A$8,0)),0)</f>
        <v/>
      </c>
      <c r="H45" s="9" t="n">
        <v>4</v>
      </c>
      <c r="I45" s="11">
        <f>$H45*$G45</f>
        <v/>
      </c>
      <c r="J45" s="11">
        <f>INT(($B45-Модель!$B$16)/7)+1</f>
        <v/>
      </c>
    </row>
    <row r="46">
      <c r="A46" s="11" t="n">
        <v>45</v>
      </c>
      <c r="B46" s="12" t="n">
        <v>46282</v>
      </c>
      <c r="C46" s="9" t="inlineStr">
        <is>
          <t>П7</t>
        </is>
      </c>
      <c r="D46" s="13">
        <f>IFERROR(INDEX(Предметы!$B$2:$B$9,MATCH($C46,Предметы!$A$2:$A$9,0)),"")</f>
        <v/>
      </c>
      <c r="E46" s="9" t="inlineStr">
        <is>
          <t>В1</t>
        </is>
      </c>
      <c r="F46" s="13">
        <f>IFERROR(INDEX('Виды работ'!$B$2:$B$8,MATCH($E46,'Виды работ'!$A$2:$A$8,0)),"")</f>
        <v/>
      </c>
      <c r="G46" s="11">
        <f>IFERROR(INDEX('Виды работ'!$C$2:$C$8,MATCH($E46,'Виды работ'!$A$2:$A$8,0)),0)</f>
        <v/>
      </c>
      <c r="H46" s="9" t="n">
        <v>4</v>
      </c>
      <c r="I46" s="11">
        <f>$H46*$G46</f>
        <v/>
      </c>
      <c r="J46" s="11">
        <f>INT(($B46-Модель!$B$16)/7)+1</f>
        <v/>
      </c>
    </row>
    <row r="47">
      <c r="A47" s="11" t="n">
        <v>46</v>
      </c>
      <c r="B47" s="12" t="n">
        <v>46283</v>
      </c>
      <c r="C47" s="9" t="inlineStr">
        <is>
          <t>П2</t>
        </is>
      </c>
      <c r="D47" s="13">
        <f>IFERROR(INDEX(Предметы!$B$2:$B$9,MATCH($C47,Предметы!$A$2:$A$9,0)),"")</f>
        <v/>
      </c>
      <c r="E47" s="9" t="inlineStr">
        <is>
          <t>В1</t>
        </is>
      </c>
      <c r="F47" s="13">
        <f>IFERROR(INDEX('Виды работ'!$B$2:$B$8,MATCH($E47,'Виды работ'!$A$2:$A$8,0)),"")</f>
        <v/>
      </c>
      <c r="G47" s="11">
        <f>IFERROR(INDEX('Виды работ'!$C$2:$C$8,MATCH($E47,'Виды работ'!$A$2:$A$8,0)),0)</f>
        <v/>
      </c>
      <c r="H47" s="9" t="n">
        <v>3</v>
      </c>
      <c r="I47" s="11">
        <f>$H47*$G47</f>
        <v/>
      </c>
      <c r="J47" s="11">
        <f>INT(($B47-Модель!$B$16)/7)+1</f>
        <v/>
      </c>
    </row>
    <row r="48">
      <c r="A48" s="11" t="n">
        <v>47</v>
      </c>
      <c r="B48" s="12" t="n">
        <v>46283</v>
      </c>
      <c r="C48" s="9" t="inlineStr">
        <is>
          <t>П4</t>
        </is>
      </c>
      <c r="D48" s="13">
        <f>IFERROR(INDEX(Предметы!$B$2:$B$9,MATCH($C48,Предметы!$A$2:$A$9,0)),"")</f>
        <v/>
      </c>
      <c r="E48" s="9" t="inlineStr">
        <is>
          <t>В3</t>
        </is>
      </c>
      <c r="F48" s="13">
        <f>IFERROR(INDEX('Виды работ'!$B$2:$B$8,MATCH($E48,'Виды работ'!$A$2:$A$8,0)),"")</f>
        <v/>
      </c>
      <c r="G48" s="11">
        <f>IFERROR(INDEX('Виды работ'!$C$2:$C$8,MATCH($E48,'Виды работ'!$A$2:$A$8,0)),0)</f>
        <v/>
      </c>
      <c r="H48" s="9" t="n">
        <v>5</v>
      </c>
      <c r="I48" s="11">
        <f>$H48*$G48</f>
        <v/>
      </c>
      <c r="J48" s="11">
        <f>INT(($B48-Модель!$B$16)/7)+1</f>
        <v/>
      </c>
    </row>
    <row r="49">
      <c r="A49" s="11" t="n">
        <v>48</v>
      </c>
      <c r="B49" s="12" t="n">
        <v>46283</v>
      </c>
      <c r="C49" s="9" t="inlineStr">
        <is>
          <t>П6</t>
        </is>
      </c>
      <c r="D49" s="13">
        <f>IFERROR(INDEX(Предметы!$B$2:$B$9,MATCH($C49,Предметы!$A$2:$A$9,0)),"")</f>
        <v/>
      </c>
      <c r="E49" s="9" t="inlineStr">
        <is>
          <t>В4</t>
        </is>
      </c>
      <c r="F49" s="13">
        <f>IFERROR(INDEX('Виды работ'!$B$2:$B$8,MATCH($E49,'Виды работ'!$A$2:$A$8,0)),"")</f>
        <v/>
      </c>
      <c r="G49" s="11">
        <f>IFERROR(INDEX('Виды работ'!$C$2:$C$8,MATCH($E49,'Виды работ'!$A$2:$A$8,0)),0)</f>
        <v/>
      </c>
      <c r="H49" s="9" t="n">
        <v>4</v>
      </c>
      <c r="I49" s="11">
        <f>$H49*$G49</f>
        <v/>
      </c>
      <c r="J49" s="11">
        <f>INT(($B49-Модель!$B$16)/7)+1</f>
        <v/>
      </c>
    </row>
    <row r="50">
      <c r="A50" s="11" t="n">
        <v>49</v>
      </c>
      <c r="B50" s="12" t="n">
        <v>46286</v>
      </c>
      <c r="C50" s="9" t="inlineStr">
        <is>
          <t>П1</t>
        </is>
      </c>
      <c r="D50" s="13">
        <f>IFERROR(INDEX(Предметы!$B$2:$B$9,MATCH($C50,Предметы!$A$2:$A$9,0)),"")</f>
        <v/>
      </c>
      <c r="E50" s="9" t="inlineStr">
        <is>
          <t>В4</t>
        </is>
      </c>
      <c r="F50" s="13">
        <f>IFERROR(INDEX('Виды работ'!$B$2:$B$8,MATCH($E50,'Виды работ'!$A$2:$A$8,0)),"")</f>
        <v/>
      </c>
      <c r="G50" s="11">
        <f>IFERROR(INDEX('Виды работ'!$C$2:$C$8,MATCH($E50,'Виды работ'!$A$2:$A$8,0)),0)</f>
        <v/>
      </c>
      <c r="H50" s="9" t="n">
        <v>5</v>
      </c>
      <c r="I50" s="11">
        <f>$H50*$G50</f>
        <v/>
      </c>
      <c r="J50" s="11">
        <f>INT(($B50-Модель!$B$16)/7)+1</f>
        <v/>
      </c>
    </row>
    <row r="51">
      <c r="A51" s="11" t="n">
        <v>50</v>
      </c>
      <c r="B51" s="12" t="n">
        <v>46286</v>
      </c>
      <c r="C51" s="9" t="inlineStr">
        <is>
          <t>П4</t>
        </is>
      </c>
      <c r="D51" s="13">
        <f>IFERROR(INDEX(Предметы!$B$2:$B$9,MATCH($C51,Предметы!$A$2:$A$9,0)),"")</f>
        <v/>
      </c>
      <c r="E51" s="9" t="inlineStr">
        <is>
          <t>В2</t>
        </is>
      </c>
      <c r="F51" s="13">
        <f>IFERROR(INDEX('Виды работ'!$B$2:$B$8,MATCH($E51,'Виды работ'!$A$2:$A$8,0)),"")</f>
        <v/>
      </c>
      <c r="G51" s="11">
        <f>IFERROR(INDEX('Виды работ'!$C$2:$C$8,MATCH($E51,'Виды работ'!$A$2:$A$8,0)),0)</f>
        <v/>
      </c>
      <c r="H51" s="9" t="n">
        <v>3</v>
      </c>
      <c r="I51" s="11">
        <f>$H51*$G51</f>
        <v/>
      </c>
      <c r="J51" s="11">
        <f>INT(($B51-Модель!$B$16)/7)+1</f>
        <v/>
      </c>
    </row>
    <row r="52">
      <c r="A52" s="11" t="n">
        <v>51</v>
      </c>
      <c r="B52" s="12" t="n">
        <v>46286</v>
      </c>
      <c r="C52" s="9" t="inlineStr">
        <is>
          <t>П6</t>
        </is>
      </c>
      <c r="D52" s="13">
        <f>IFERROR(INDEX(Предметы!$B$2:$B$9,MATCH($C52,Предметы!$A$2:$A$9,0)),"")</f>
        <v/>
      </c>
      <c r="E52" s="9" t="inlineStr">
        <is>
          <t>В7</t>
        </is>
      </c>
      <c r="F52" s="13">
        <f>IFERROR(INDEX('Виды работ'!$B$2:$B$8,MATCH($E52,'Виды работ'!$A$2:$A$8,0)),"")</f>
        <v/>
      </c>
      <c r="G52" s="11">
        <f>IFERROR(INDEX('Виды работ'!$C$2:$C$8,MATCH($E52,'Виды работ'!$A$2:$A$8,0)),0)</f>
        <v/>
      </c>
      <c r="H52" s="9" t="n">
        <v>5</v>
      </c>
      <c r="I52" s="11">
        <f>$H52*$G52</f>
        <v/>
      </c>
      <c r="J52" s="11">
        <f>INT(($B52-Модель!$B$16)/7)+1</f>
        <v/>
      </c>
    </row>
    <row r="53">
      <c r="A53" s="11" t="n">
        <v>52</v>
      </c>
      <c r="B53" s="12" t="n">
        <v>46286</v>
      </c>
      <c r="C53" s="9" t="inlineStr">
        <is>
          <t>П8</t>
        </is>
      </c>
      <c r="D53" s="13">
        <f>IFERROR(INDEX(Предметы!$B$2:$B$9,MATCH($C53,Предметы!$A$2:$A$9,0)),"")</f>
        <v/>
      </c>
      <c r="E53" s="9" t="inlineStr">
        <is>
          <t>В5</t>
        </is>
      </c>
      <c r="F53" s="13">
        <f>IFERROR(INDEX('Виды работ'!$B$2:$B$8,MATCH($E53,'Виды работ'!$A$2:$A$8,0)),"")</f>
        <v/>
      </c>
      <c r="G53" s="11">
        <f>IFERROR(INDEX('Виды работ'!$C$2:$C$8,MATCH($E53,'Виды работ'!$A$2:$A$8,0)),0)</f>
        <v/>
      </c>
      <c r="H53" s="9" t="n">
        <v>5</v>
      </c>
      <c r="I53" s="11">
        <f>$H53*$G53</f>
        <v/>
      </c>
      <c r="J53" s="11">
        <f>INT(($B53-Модель!$B$16)/7)+1</f>
        <v/>
      </c>
    </row>
    <row r="54">
      <c r="A54" s="11" t="n">
        <v>53</v>
      </c>
      <c r="B54" s="12" t="n">
        <v>46287</v>
      </c>
      <c r="C54" s="9" t="inlineStr">
        <is>
          <t>П1</t>
        </is>
      </c>
      <c r="D54" s="13">
        <f>IFERROR(INDEX(Предметы!$B$2:$B$9,MATCH($C54,Предметы!$A$2:$A$9,0)),"")</f>
        <v/>
      </c>
      <c r="E54" s="9" t="inlineStr">
        <is>
          <t>В7</t>
        </is>
      </c>
      <c r="F54" s="13">
        <f>IFERROR(INDEX('Виды работ'!$B$2:$B$8,MATCH($E54,'Виды работ'!$A$2:$A$8,0)),"")</f>
        <v/>
      </c>
      <c r="G54" s="11">
        <f>IFERROR(INDEX('Виды работ'!$C$2:$C$8,MATCH($E54,'Виды работ'!$A$2:$A$8,0)),0)</f>
        <v/>
      </c>
      <c r="H54" s="9" t="n">
        <v>5</v>
      </c>
      <c r="I54" s="11">
        <f>$H54*$G54</f>
        <v/>
      </c>
      <c r="J54" s="11">
        <f>INT(($B54-Модель!$B$16)/7)+1</f>
        <v/>
      </c>
    </row>
    <row r="55">
      <c r="A55" s="11" t="n">
        <v>54</v>
      </c>
      <c r="B55" s="12" t="n">
        <v>46287</v>
      </c>
      <c r="C55" s="9" t="inlineStr">
        <is>
          <t>П3</t>
        </is>
      </c>
      <c r="D55" s="13">
        <f>IFERROR(INDEX(Предметы!$B$2:$B$9,MATCH($C55,Предметы!$A$2:$A$9,0)),"")</f>
        <v/>
      </c>
      <c r="E55" s="9" t="inlineStr">
        <is>
          <t>В5</t>
        </is>
      </c>
      <c r="F55" s="13">
        <f>IFERROR(INDEX('Виды работ'!$B$2:$B$8,MATCH($E55,'Виды работ'!$A$2:$A$8,0)),"")</f>
        <v/>
      </c>
      <c r="G55" s="11">
        <f>IFERROR(INDEX('Виды работ'!$C$2:$C$8,MATCH($E55,'Виды работ'!$A$2:$A$8,0)),0)</f>
        <v/>
      </c>
      <c r="H55" s="9" t="n">
        <v>4</v>
      </c>
      <c r="I55" s="11">
        <f>$H55*$G55</f>
        <v/>
      </c>
      <c r="J55" s="11">
        <f>INT(($B55-Модель!$B$16)/7)+1</f>
        <v/>
      </c>
    </row>
    <row r="56">
      <c r="A56" s="11" t="n">
        <v>55</v>
      </c>
      <c r="B56" s="12" t="n">
        <v>46287</v>
      </c>
      <c r="C56" s="9" t="inlineStr">
        <is>
          <t>П6</t>
        </is>
      </c>
      <c r="D56" s="13">
        <f>IFERROR(INDEX(Предметы!$B$2:$B$9,MATCH($C56,Предметы!$A$2:$A$9,0)),"")</f>
        <v/>
      </c>
      <c r="E56" s="9" t="inlineStr">
        <is>
          <t>В5</t>
        </is>
      </c>
      <c r="F56" s="13">
        <f>IFERROR(INDEX('Виды работ'!$B$2:$B$8,MATCH($E56,'Виды работ'!$A$2:$A$8,0)),"")</f>
        <v/>
      </c>
      <c r="G56" s="11">
        <f>IFERROR(INDEX('Виды работ'!$C$2:$C$8,MATCH($E56,'Виды работ'!$A$2:$A$8,0)),0)</f>
        <v/>
      </c>
      <c r="H56" s="9" t="n">
        <v>5</v>
      </c>
      <c r="I56" s="11">
        <f>$H56*$G56</f>
        <v/>
      </c>
      <c r="J56" s="11">
        <f>INT(($B56-Модель!$B$16)/7)+1</f>
        <v/>
      </c>
    </row>
    <row r="57">
      <c r="A57" s="11" t="n">
        <v>56</v>
      </c>
      <c r="B57" s="12" t="n">
        <v>46287</v>
      </c>
      <c r="C57" s="9" t="inlineStr">
        <is>
          <t>П8</t>
        </is>
      </c>
      <c r="D57" s="13">
        <f>IFERROR(INDEX(Предметы!$B$2:$B$9,MATCH($C57,Предметы!$A$2:$A$9,0)),"")</f>
        <v/>
      </c>
      <c r="E57" s="9" t="inlineStr">
        <is>
          <t>В1</t>
        </is>
      </c>
      <c r="F57" s="13">
        <f>IFERROR(INDEX('Виды работ'!$B$2:$B$8,MATCH($E57,'Виды работ'!$A$2:$A$8,0)),"")</f>
        <v/>
      </c>
      <c r="G57" s="11">
        <f>IFERROR(INDEX('Виды работ'!$C$2:$C$8,MATCH($E57,'Виды работ'!$A$2:$A$8,0)),0)</f>
        <v/>
      </c>
      <c r="H57" s="9" t="n">
        <v>4</v>
      </c>
      <c r="I57" s="11">
        <f>$H57*$G57</f>
        <v/>
      </c>
      <c r="J57" s="11">
        <f>INT(($B57-Модель!$B$16)/7)+1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3" customWidth="1" min="4" max="4"/>
    <col width="16" customWidth="1" min="5" max="5"/>
    <col width="14" customWidth="1" min="6" max="6"/>
    <col width="20" customWidth="1" min="7" max="7"/>
    <col width="14" customWidth="1" min="8" max="8"/>
  </cols>
  <sheetData>
    <row r="1">
      <c r="A1" s="1" t="inlineStr">
        <is>
          <t>Результаты моделирования</t>
        </is>
      </c>
    </row>
    <row r="2"/>
    <row r="3">
      <c r="A3" s="4" t="inlineStr">
        <is>
          <t>Общая сводка</t>
        </is>
      </c>
    </row>
    <row r="4">
      <c r="A4" s="5" t="inlineStr">
        <is>
          <t>Оценок получено всего</t>
        </is>
      </c>
      <c r="B4" s="11">
        <f>COUNT(Журнал!$H$2:$H$57)</f>
        <v/>
      </c>
    </row>
    <row r="5">
      <c r="A5" s="5" t="inlineStr">
        <is>
          <t>Средний балл (простой)</t>
        </is>
      </c>
      <c r="B5" s="14">
        <f>ROUND(AVERAGE(Журнал!$H$2:$H$57),2)</f>
        <v/>
      </c>
    </row>
    <row r="6">
      <c r="A6" s="5" t="inlineStr">
        <is>
          <t>Средний балл (взвешенный)</t>
        </is>
      </c>
      <c r="B6" s="14">
        <f>ROUND(SUM(Журнал!$I$2:$I$57)/SUM(Журнал!$G$2:$G$57),2)</f>
        <v/>
      </c>
    </row>
    <row r="7">
      <c r="A7" s="5" t="inlineStr">
        <is>
          <t>Пятёрок</t>
        </is>
      </c>
      <c r="B7" s="11">
        <f>COUNTIF(Журнал!$H$2:$H$57,5)</f>
        <v/>
      </c>
    </row>
    <row r="8">
      <c r="A8" s="5" t="inlineStr">
        <is>
          <t>Четвёрок</t>
        </is>
      </c>
      <c r="B8" s="11">
        <f>COUNTIF(Журнал!$H$2:$H$57,4)</f>
        <v/>
      </c>
    </row>
    <row r="9">
      <c r="A9" s="5" t="inlineStr">
        <is>
          <t>Троек</t>
        </is>
      </c>
      <c r="B9" s="11">
        <f>COUNTIF(Журнал!$H$2:$H$57,3)</f>
        <v/>
      </c>
    </row>
    <row r="10">
      <c r="A10" s="5" t="inlineStr">
        <is>
          <t>Дней с начала четверти</t>
        </is>
      </c>
      <c r="B10" s="11">
        <f>Модель!$B$17-Модель!$B$16</f>
        <v/>
      </c>
    </row>
    <row r="11"/>
    <row r="12">
      <c r="A12" s="4" t="inlineStr">
        <is>
          <t>Успеваемость по предметам</t>
        </is>
      </c>
    </row>
    <row r="13">
      <c r="A13" s="8" t="inlineStr">
        <is>
          <t>Код</t>
        </is>
      </c>
      <c r="B13" s="8" t="inlineStr">
        <is>
          <t>Предмет</t>
        </is>
      </c>
      <c r="C13" s="8" t="inlineStr">
        <is>
          <t>Оценок</t>
        </is>
      </c>
      <c r="D13" s="8" t="inlineStr">
        <is>
          <t>Средний балл</t>
        </is>
      </c>
      <c r="E13" s="8" t="inlineStr">
        <is>
          <t>Средневзвешенный</t>
        </is>
      </c>
      <c r="F13" s="8" t="inlineStr">
        <is>
          <t>Итоговая оценка</t>
        </is>
      </c>
      <c r="G13" s="8" t="inlineStr">
        <is>
          <t>Статус</t>
        </is>
      </c>
      <c r="H13" s="8" t="inlineStr">
        <is>
          <t>Пятёрок до цели</t>
        </is>
      </c>
    </row>
    <row r="14">
      <c r="A14" s="11">
        <f>Предметы!$A2</f>
        <v/>
      </c>
      <c r="B14" s="13">
        <f>IFERROR(INDEX(Предметы!$B$2:$B$9,MATCH($A14,Предметы!$A$2:$A$9,0)),"")</f>
        <v/>
      </c>
      <c r="C14" s="11">
        <f>COUNTIF(Журнал!$C$2:$C$57,$A14)</f>
        <v/>
      </c>
      <c r="D14" s="14">
        <f>ROUND(AVERAGEIF(Журнал!$C$2:$C$57,$A14,Журнал!$H$2:$H$57),2)</f>
        <v/>
      </c>
      <c r="E14" s="14">
        <f>ROUND(SUMIF(Журнал!$C$2:$C$57,$A14,Журнал!$I$2:$I$57)/SUMIF(Журнал!$C$2:$C$57,$A14,Журнал!$G$2:$G$57),2)</f>
        <v/>
      </c>
      <c r="F14" s="11">
        <f>ROUND($E14,0)</f>
        <v/>
      </c>
      <c r="G14" s="13">
        <f>IF($E14&gt;=Модель!$B$15,"цель достигнута",IF($E14&gt;=4,"на грани","нужно подтянуть"))</f>
        <v/>
      </c>
      <c r="H14" s="11">
        <f>IF($E14&gt;=Модель!$B$15,0,ROUNDUP((Модель!$B$15*SUMIF(Журнал!$C$2:$C$57,$A14,Журнал!$G$2:$G$57)-SUMIF(Журнал!$C$2:$C$57,$A14,Журнал!$I$2:$I$57))/(5-Модель!$B$15),0))</f>
        <v/>
      </c>
    </row>
    <row r="15">
      <c r="A15" s="11">
        <f>Предметы!$A3</f>
        <v/>
      </c>
      <c r="B15" s="13">
        <f>IFERROR(INDEX(Предметы!$B$2:$B$9,MATCH($A15,Предметы!$A$2:$A$9,0)),"")</f>
        <v/>
      </c>
      <c r="C15" s="11">
        <f>COUNTIF(Журнал!$C$2:$C$57,$A15)</f>
        <v/>
      </c>
      <c r="D15" s="14">
        <f>ROUND(AVERAGEIF(Журнал!$C$2:$C$57,$A15,Журнал!$H$2:$H$57),2)</f>
        <v/>
      </c>
      <c r="E15" s="14">
        <f>ROUND(SUMIF(Журнал!$C$2:$C$57,$A15,Журнал!$I$2:$I$57)/SUMIF(Журнал!$C$2:$C$57,$A15,Журнал!$G$2:$G$57),2)</f>
        <v/>
      </c>
      <c r="F15" s="11">
        <f>ROUND($E15,0)</f>
        <v/>
      </c>
      <c r="G15" s="13">
        <f>IF($E15&gt;=Модель!$B$15,"цель достигнута",IF($E15&gt;=4,"на грани","нужно подтянуть"))</f>
        <v/>
      </c>
      <c r="H15" s="11">
        <f>IF($E15&gt;=Модель!$B$15,0,ROUNDUP((Модель!$B$15*SUMIF(Журнал!$C$2:$C$57,$A15,Журнал!$G$2:$G$57)-SUMIF(Журнал!$C$2:$C$57,$A15,Журнал!$I$2:$I$57))/(5-Модель!$B$15),0))</f>
        <v/>
      </c>
    </row>
    <row r="16">
      <c r="A16" s="11">
        <f>Предметы!$A4</f>
        <v/>
      </c>
      <c r="B16" s="13">
        <f>IFERROR(INDEX(Предметы!$B$2:$B$9,MATCH($A16,Предметы!$A$2:$A$9,0)),"")</f>
        <v/>
      </c>
      <c r="C16" s="11">
        <f>COUNTIF(Журнал!$C$2:$C$57,$A16)</f>
        <v/>
      </c>
      <c r="D16" s="14">
        <f>ROUND(AVERAGEIF(Журнал!$C$2:$C$57,$A16,Журнал!$H$2:$H$57),2)</f>
        <v/>
      </c>
      <c r="E16" s="14">
        <f>ROUND(SUMIF(Журнал!$C$2:$C$57,$A16,Журнал!$I$2:$I$57)/SUMIF(Журнал!$C$2:$C$57,$A16,Журнал!$G$2:$G$57),2)</f>
        <v/>
      </c>
      <c r="F16" s="11">
        <f>ROUND($E16,0)</f>
        <v/>
      </c>
      <c r="G16" s="13">
        <f>IF($E16&gt;=Модель!$B$15,"цель достигнута",IF($E16&gt;=4,"на грани","нужно подтянуть"))</f>
        <v/>
      </c>
      <c r="H16" s="11">
        <f>IF($E16&gt;=Модель!$B$15,0,ROUNDUP((Модель!$B$15*SUMIF(Журнал!$C$2:$C$57,$A16,Журнал!$G$2:$G$57)-SUMIF(Журнал!$C$2:$C$57,$A16,Журнал!$I$2:$I$57))/(5-Модель!$B$15),0))</f>
        <v/>
      </c>
    </row>
    <row r="17">
      <c r="A17" s="11">
        <f>Предметы!$A5</f>
        <v/>
      </c>
      <c r="B17" s="13">
        <f>IFERROR(INDEX(Предметы!$B$2:$B$9,MATCH($A17,Предметы!$A$2:$A$9,0)),"")</f>
        <v/>
      </c>
      <c r="C17" s="11">
        <f>COUNTIF(Журнал!$C$2:$C$57,$A17)</f>
        <v/>
      </c>
      <c r="D17" s="14">
        <f>ROUND(AVERAGEIF(Журнал!$C$2:$C$57,$A17,Журнал!$H$2:$H$57),2)</f>
        <v/>
      </c>
      <c r="E17" s="14">
        <f>ROUND(SUMIF(Журнал!$C$2:$C$57,$A17,Журнал!$I$2:$I$57)/SUMIF(Журнал!$C$2:$C$57,$A17,Журнал!$G$2:$G$57),2)</f>
        <v/>
      </c>
      <c r="F17" s="11">
        <f>ROUND($E17,0)</f>
        <v/>
      </c>
      <c r="G17" s="13">
        <f>IF($E17&gt;=Модель!$B$15,"цель достигнута",IF($E17&gt;=4,"на грани","нужно подтянуть"))</f>
        <v/>
      </c>
      <c r="H17" s="11">
        <f>IF($E17&gt;=Модель!$B$15,0,ROUNDUP((Модель!$B$15*SUMIF(Журнал!$C$2:$C$57,$A17,Журнал!$G$2:$G$57)-SUMIF(Журнал!$C$2:$C$57,$A17,Журнал!$I$2:$I$57))/(5-Модель!$B$15),0))</f>
        <v/>
      </c>
    </row>
    <row r="18">
      <c r="A18" s="11">
        <f>Предметы!$A6</f>
        <v/>
      </c>
      <c r="B18" s="13">
        <f>IFERROR(INDEX(Предметы!$B$2:$B$9,MATCH($A18,Предметы!$A$2:$A$9,0)),"")</f>
        <v/>
      </c>
      <c r="C18" s="11">
        <f>COUNTIF(Журнал!$C$2:$C$57,$A18)</f>
        <v/>
      </c>
      <c r="D18" s="14">
        <f>ROUND(AVERAGEIF(Журнал!$C$2:$C$57,$A18,Журнал!$H$2:$H$57),2)</f>
        <v/>
      </c>
      <c r="E18" s="14">
        <f>ROUND(SUMIF(Журнал!$C$2:$C$57,$A18,Журнал!$I$2:$I$57)/SUMIF(Журнал!$C$2:$C$57,$A18,Журнал!$G$2:$G$57),2)</f>
        <v/>
      </c>
      <c r="F18" s="11">
        <f>ROUND($E18,0)</f>
        <v/>
      </c>
      <c r="G18" s="13">
        <f>IF($E18&gt;=Модель!$B$15,"цель достигнута",IF($E18&gt;=4,"на грани","нужно подтянуть"))</f>
        <v/>
      </c>
      <c r="H18" s="11">
        <f>IF($E18&gt;=Модель!$B$15,0,ROUNDUP((Модель!$B$15*SUMIF(Журнал!$C$2:$C$57,$A18,Журнал!$G$2:$G$57)-SUMIF(Журнал!$C$2:$C$57,$A18,Журнал!$I$2:$I$57))/(5-Модель!$B$15),0))</f>
        <v/>
      </c>
    </row>
    <row r="19">
      <c r="A19" s="11">
        <f>Предметы!$A7</f>
        <v/>
      </c>
      <c r="B19" s="13">
        <f>IFERROR(INDEX(Предметы!$B$2:$B$9,MATCH($A19,Предметы!$A$2:$A$9,0)),"")</f>
        <v/>
      </c>
      <c r="C19" s="11">
        <f>COUNTIF(Журнал!$C$2:$C$57,$A19)</f>
        <v/>
      </c>
      <c r="D19" s="14">
        <f>ROUND(AVERAGEIF(Журнал!$C$2:$C$57,$A19,Журнал!$H$2:$H$57),2)</f>
        <v/>
      </c>
      <c r="E19" s="14">
        <f>ROUND(SUMIF(Журнал!$C$2:$C$57,$A19,Журнал!$I$2:$I$57)/SUMIF(Журнал!$C$2:$C$57,$A19,Журнал!$G$2:$G$57),2)</f>
        <v/>
      </c>
      <c r="F19" s="11">
        <f>ROUND($E19,0)</f>
        <v/>
      </c>
      <c r="G19" s="13">
        <f>IF($E19&gt;=Модель!$B$15,"цель достигнута",IF($E19&gt;=4,"на грани","нужно подтянуть"))</f>
        <v/>
      </c>
      <c r="H19" s="11">
        <f>IF($E19&gt;=Модель!$B$15,0,ROUNDUP((Модель!$B$15*SUMIF(Журнал!$C$2:$C$57,$A19,Журнал!$G$2:$G$57)-SUMIF(Журнал!$C$2:$C$57,$A19,Журнал!$I$2:$I$57))/(5-Модель!$B$15),0))</f>
        <v/>
      </c>
    </row>
    <row r="20">
      <c r="A20" s="11">
        <f>Предметы!$A8</f>
        <v/>
      </c>
      <c r="B20" s="13">
        <f>IFERROR(INDEX(Предметы!$B$2:$B$9,MATCH($A20,Предметы!$A$2:$A$9,0)),"")</f>
        <v/>
      </c>
      <c r="C20" s="11">
        <f>COUNTIF(Журнал!$C$2:$C$57,$A20)</f>
        <v/>
      </c>
      <c r="D20" s="14">
        <f>ROUND(AVERAGEIF(Журнал!$C$2:$C$57,$A20,Журнал!$H$2:$H$57),2)</f>
        <v/>
      </c>
      <c r="E20" s="14">
        <f>ROUND(SUMIF(Журнал!$C$2:$C$57,$A20,Журнал!$I$2:$I$57)/SUMIF(Журнал!$C$2:$C$57,$A20,Журнал!$G$2:$G$57),2)</f>
        <v/>
      </c>
      <c r="F20" s="11">
        <f>ROUND($E20,0)</f>
        <v/>
      </c>
      <c r="G20" s="13">
        <f>IF($E20&gt;=Модель!$B$15,"цель достигнута",IF($E20&gt;=4,"на грани","нужно подтянуть"))</f>
        <v/>
      </c>
      <c r="H20" s="11">
        <f>IF($E20&gt;=Модель!$B$15,0,ROUNDUP((Модель!$B$15*SUMIF(Журнал!$C$2:$C$57,$A20,Журнал!$G$2:$G$57)-SUMIF(Журнал!$C$2:$C$57,$A20,Журнал!$I$2:$I$57))/(5-Модель!$B$15),0))</f>
        <v/>
      </c>
    </row>
    <row r="21">
      <c r="A21" s="11">
        <f>Предметы!$A9</f>
        <v/>
      </c>
      <c r="B21" s="13">
        <f>IFERROR(INDEX(Предметы!$B$2:$B$9,MATCH($A21,Предметы!$A$2:$A$9,0)),"")</f>
        <v/>
      </c>
      <c r="C21" s="11">
        <f>COUNTIF(Журнал!$C$2:$C$57,$A21)</f>
        <v/>
      </c>
      <c r="D21" s="14">
        <f>ROUND(AVERAGEIF(Журнал!$C$2:$C$57,$A21,Журнал!$H$2:$H$57),2)</f>
        <v/>
      </c>
      <c r="E21" s="14">
        <f>ROUND(SUMIF(Журнал!$C$2:$C$57,$A21,Журнал!$I$2:$I$57)/SUMIF(Журнал!$C$2:$C$57,$A21,Журнал!$G$2:$G$57),2)</f>
        <v/>
      </c>
      <c r="F21" s="11">
        <f>ROUND($E21,0)</f>
        <v/>
      </c>
      <c r="G21" s="13">
        <f>IF($E21&gt;=Модель!$B$15,"цель достигнута",IF($E21&gt;=4,"на грани","нужно подтянуть"))</f>
        <v/>
      </c>
      <c r="H21" s="11">
        <f>IF($E21&gt;=Модель!$B$15,0,ROUNDUP((Модель!$B$15*SUMIF(Журнал!$C$2:$C$57,$A21,Журнал!$G$2:$G$57)-SUMIF(Журнал!$C$2:$C$57,$A21,Журнал!$I$2:$I$57))/(5-Модель!$B$15),0))</f>
        <v/>
      </c>
    </row>
    <row r="22">
      <c r="A22" s="15" t="n"/>
      <c r="B22" s="16" t="inlineStr">
        <is>
          <t>Итого / среднее</t>
        </is>
      </c>
      <c r="C22" s="17">
        <f>SUM($C$14:$C$21)</f>
        <v/>
      </c>
      <c r="D22" s="18">
        <f>ROUND(AVERAGE(Журнал!$H$2:$H$57),2)</f>
        <v/>
      </c>
      <c r="E22" s="18">
        <f>ROUND(SUM(Журнал!$I$2:$I$57)/SUM(Журнал!$G$2:$G$57),2)</f>
        <v/>
      </c>
      <c r="F22" s="15" t="n"/>
      <c r="G22" s="15" t="n"/>
      <c r="H22" s="17">
        <f>SUM($H$14:$H$21)</f>
        <v/>
      </c>
    </row>
    <row r="23"/>
    <row r="24">
      <c r="A24" s="4" t="inlineStr">
        <is>
          <t>Динамика по неделям</t>
        </is>
      </c>
    </row>
    <row r="25">
      <c r="A25" s="8" t="inlineStr">
        <is>
          <t>Неделя</t>
        </is>
      </c>
      <c r="B25" s="8" t="inlineStr">
        <is>
          <t>Оценок</t>
        </is>
      </c>
      <c r="C25" s="8" t="inlineStr">
        <is>
          <t>Средний балл</t>
        </is>
      </c>
    </row>
    <row r="26">
      <c r="A26" s="9" t="n">
        <v>1</v>
      </c>
      <c r="B26" s="11">
        <f>COUNTIF(Журнал!$J$2:$J$57,$A26)</f>
        <v/>
      </c>
      <c r="C26" s="14">
        <f>IFERROR(ROUND(AVERAGEIF(Журнал!$J$2:$J$57,$A26,Журнал!$H$2:$H$57),2),0)</f>
        <v/>
      </c>
    </row>
    <row r="27">
      <c r="A27" s="9" t="n">
        <v>2</v>
      </c>
      <c r="B27" s="11">
        <f>COUNTIF(Журнал!$J$2:$J$57,$A27)</f>
        <v/>
      </c>
      <c r="C27" s="14">
        <f>IFERROR(ROUND(AVERAGEIF(Журнал!$J$2:$J$57,$A27,Журнал!$H$2:$H$57),2),0)</f>
        <v/>
      </c>
    </row>
    <row r="28">
      <c r="A28" s="9" t="n">
        <v>3</v>
      </c>
      <c r="B28" s="11">
        <f>COUNTIF(Журнал!$J$2:$J$57,$A28)</f>
        <v/>
      </c>
      <c r="C28" s="14">
        <f>IFERROR(ROUND(AVERAGEIF(Журнал!$J$2:$J$57,$A28,Журнал!$H$2:$H$57),2),0)</f>
        <v/>
      </c>
    </row>
    <row r="29">
      <c r="A29" s="9" t="n">
        <v>4</v>
      </c>
      <c r="B29" s="11">
        <f>COUNTIF(Журнал!$J$2:$J$57,$A29)</f>
        <v/>
      </c>
      <c r="C29" s="14">
        <f>IFERROR(ROUND(AVERAGEIF(Журнал!$J$2:$J$57,$A29,Журнал!$H$2:$H$57),2),0)</f>
        <v/>
      </c>
    </row>
    <row r="30"/>
    <row r="31">
      <c r="A31" s="4" t="inlineStr">
        <is>
          <t>Оценки по видам работ</t>
        </is>
      </c>
    </row>
    <row r="32">
      <c r="A32" s="8" t="inlineStr">
        <is>
          <t>Вид работы</t>
        </is>
      </c>
      <c r="B32" s="8" t="inlineStr">
        <is>
          <t>Вес</t>
        </is>
      </c>
      <c r="C32" s="8" t="inlineStr">
        <is>
          <t>Оценок</t>
        </is>
      </c>
      <c r="D32" s="8" t="inlineStr">
        <is>
          <t>Средний балл</t>
        </is>
      </c>
    </row>
    <row r="33">
      <c r="A33" s="13">
        <f>'Виды работ'!$B2</f>
        <v/>
      </c>
      <c r="B33" s="11">
        <f>'Виды работ'!$C2</f>
        <v/>
      </c>
      <c r="C33" s="11">
        <f>COUNTIF(Журнал!$E$2:$E$57,"В1")</f>
        <v/>
      </c>
      <c r="D33" s="14">
        <f>IFERROR(ROUND(AVERAGEIF(Журнал!$E$2:$E$57,"В1",Журнал!$H$2:$H$57),2),0)</f>
        <v/>
      </c>
    </row>
    <row r="34">
      <c r="A34" s="13">
        <f>'Виды работ'!$B3</f>
        <v/>
      </c>
      <c r="B34" s="11">
        <f>'Виды работ'!$C3</f>
        <v/>
      </c>
      <c r="C34" s="11">
        <f>COUNTIF(Журнал!$E$2:$E$57,"В2")</f>
        <v/>
      </c>
      <c r="D34" s="14">
        <f>IFERROR(ROUND(AVERAGEIF(Журнал!$E$2:$E$57,"В2",Журнал!$H$2:$H$57),2),0)</f>
        <v/>
      </c>
    </row>
    <row r="35">
      <c r="A35" s="13">
        <f>'Виды работ'!$B4</f>
        <v/>
      </c>
      <c r="B35" s="11">
        <f>'Виды работ'!$C4</f>
        <v/>
      </c>
      <c r="C35" s="11">
        <f>COUNTIF(Журнал!$E$2:$E$57,"В3")</f>
        <v/>
      </c>
      <c r="D35" s="14">
        <f>IFERROR(ROUND(AVERAGEIF(Журнал!$E$2:$E$57,"В3",Журнал!$H$2:$H$57),2),0)</f>
        <v/>
      </c>
    </row>
    <row r="36">
      <c r="A36" s="13">
        <f>'Виды работ'!$B5</f>
        <v/>
      </c>
      <c r="B36" s="11">
        <f>'Виды работ'!$C5</f>
        <v/>
      </c>
      <c r="C36" s="11">
        <f>COUNTIF(Журнал!$E$2:$E$57,"В4")</f>
        <v/>
      </c>
      <c r="D36" s="14">
        <f>IFERROR(ROUND(AVERAGEIF(Журнал!$E$2:$E$57,"В4",Журнал!$H$2:$H$57),2),0)</f>
        <v/>
      </c>
    </row>
    <row r="37">
      <c r="A37" s="13">
        <f>'Виды работ'!$B6</f>
        <v/>
      </c>
      <c r="B37" s="11">
        <f>'Виды работ'!$C6</f>
        <v/>
      </c>
      <c r="C37" s="11">
        <f>COUNTIF(Журнал!$E$2:$E$57,"В5")</f>
        <v/>
      </c>
      <c r="D37" s="14">
        <f>IFERROR(ROUND(AVERAGEIF(Журнал!$E$2:$E$57,"В5",Журнал!$H$2:$H$57),2),0)</f>
        <v/>
      </c>
    </row>
    <row r="38">
      <c r="A38" s="13">
        <f>'Виды работ'!$B7</f>
        <v/>
      </c>
      <c r="B38" s="11">
        <f>'Виды работ'!$C7</f>
        <v/>
      </c>
      <c r="C38" s="11">
        <f>COUNTIF(Журнал!$E$2:$E$57,"В6")</f>
        <v/>
      </c>
      <c r="D38" s="14">
        <f>IFERROR(ROUND(AVERAGEIF(Журнал!$E$2:$E$57,"В6",Журнал!$H$2:$H$57),2),0)</f>
        <v/>
      </c>
    </row>
    <row r="39">
      <c r="A39" s="13">
        <f>'Виды работ'!$B8</f>
        <v/>
      </c>
      <c r="B39" s="11">
        <f>'Виды работ'!$C8</f>
        <v/>
      </c>
      <c r="C39" s="11">
        <f>COUNTIF(Журнал!$E$2:$E$57,"В7")</f>
        <v/>
      </c>
      <c r="D39" s="14">
        <f>IFERROR(ROUND(AVERAGEIF(Журнал!$E$2:$E$57,"В7",Журнал!$H$2:$H$57),2),0)</f>
        <v/>
      </c>
    </row>
    <row r="40"/>
    <row r="41">
      <c r="A41" s="4" t="inlineStr">
        <is>
          <t>Вывод модели</t>
        </is>
      </c>
    </row>
    <row r="42">
      <c r="A42" s="5" t="inlineStr">
        <is>
          <t>Предметов, где цель достигнута</t>
        </is>
      </c>
      <c r="B42" s="11">
        <f>COUNTIF($G$14:$G$21,"цель достигнута")</f>
        <v/>
      </c>
    </row>
    <row r="43">
      <c r="A43" s="5" t="inlineStr">
        <is>
          <t>Предметов «на грани»</t>
        </is>
      </c>
      <c r="B43" s="11">
        <f>COUNTIF($G$14:$G$21,"на грани")</f>
        <v/>
      </c>
    </row>
    <row r="44">
      <c r="A44" s="5" t="inlineStr">
        <is>
          <t>Предметов, где нужно подтянуть</t>
        </is>
      </c>
      <c r="B44" s="11">
        <f>COUNTIF($G$14:$G$21,"нужно подтянуть")</f>
        <v/>
      </c>
    </row>
    <row r="45">
      <c r="A45" s="5" t="inlineStr">
        <is>
          <t>Всего пятёрок нужно добрать</t>
        </is>
      </c>
      <c r="B45" s="11">
        <f>SUM($H$14:$H$21)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2026-09-22T20:41:38Z</dcterms:created>
  <dcterms:modified xsi:type="dcterms:W3CDTF">2026-09-22T20:41:38Z</dcterms:modified>
</cp:coreProperties>
</file>