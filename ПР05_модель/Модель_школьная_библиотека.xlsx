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одель" sheetId="1" state="visible" r:id="rId1"/>
    <sheet name="Книги" sheetId="2" state="visible" r:id="rId2"/>
    <sheet name="Читатели" sheetId="3" state="visible" r:id="rId3"/>
    <sheet name="Выдачи" sheetId="4" state="visible" r:id="rId4"/>
    <sheet name="Итог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0.0%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1"/>
    </font>
    <font>
      <name val="Arial"/>
      <color rgb="000000FF"/>
      <sz val="11"/>
    </font>
    <font>
      <name val="Arial"/>
      <b val="1"/>
      <color rgb="00FFFFFF"/>
      <sz val="11"/>
    </font>
    <font>
      <name val="Arial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C55A1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  <xf numFmtId="0" fontId="4" fillId="2" borderId="1" pivotButton="0" quotePrefix="0" xfId="0"/>
    <xf numFmtId="165" fontId="4" fillId="2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6" fillId="0" borderId="1" pivotButton="0" quotePrefix="0" xfId="0"/>
    <xf numFmtId="165" fontId="4" fillId="0" borderId="1" pivotButton="0" quotePrefix="0" xfId="0"/>
    <xf numFmtId="165" fontId="6" fillId="0" borderId="1" pivotButton="0" quotePrefix="0" xfId="0"/>
    <xf numFmtId="0" fontId="1" fillId="0" borderId="0" pivotButton="0" quotePrefix="0" xfId="0"/>
    <xf numFmtId="166" fontId="6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Выдачи по разделам фонда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'Итоги'!B31</f>
            </strRef>
          </tx>
          <spPr>
            <a:ln>
              <a:prstDash val="solid"/>
            </a:ln>
          </spPr>
          <cat>
            <numRef>
              <f>'Итоги'!$A$32:$A$35</f>
            </numRef>
          </cat>
          <val>
            <numRef>
              <f>'Итоги'!$B$32:$B$35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Количество выдач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2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95" customWidth="1" min="1" max="1"/>
    <col width="16" customWidth="1" min="2" max="2"/>
  </cols>
  <sheetData>
    <row r="1">
      <c r="A1" s="1" t="inlineStr">
        <is>
          <t>Информационная модель «Школьная библиотека»</t>
        </is>
      </c>
    </row>
    <row r="2">
      <c r="A2" s="2" t="inlineStr"/>
    </row>
    <row r="3">
      <c r="A3" s="3" t="inlineStr">
        <is>
          <t>Цель модели</t>
        </is>
      </c>
    </row>
    <row r="4">
      <c r="A4" s="2" t="inlineStr">
        <is>
          <t>Отслеживать движение книжного фонда школьной библиотеки: какие книги выданы, кому, когда их нужно вернуть, сколько экземпляров свободно и какие разделы фонда пользуются наибольшим спросом.</t>
        </is>
      </c>
    </row>
    <row r="5">
      <c r="A5" s="2" t="inlineStr"/>
    </row>
    <row r="6">
      <c r="A6" s="3" t="inlineStr">
        <is>
          <t>Вопросы, на которые отвечает модель</t>
        </is>
      </c>
    </row>
    <row r="7">
      <c r="A7" s="2" t="inlineStr">
        <is>
          <t>1. Сколько экземпляров каждой книги сейчас свободно, а сколько на руках?</t>
        </is>
      </c>
    </row>
    <row r="8">
      <c r="A8" s="2" t="inlineStr">
        <is>
          <t>2. У кого из читателей просрочен возврат и на сколько дней?</t>
        </is>
      </c>
    </row>
    <row r="9">
      <c r="A9" s="2" t="inlineStr">
        <is>
          <t>3. Какие разделы фонда самые востребованные (что докупать)?</t>
        </is>
      </c>
    </row>
    <row r="10">
      <c r="A10" s="2" t="inlineStr">
        <is>
          <t>4. Какой класс читает активнее других?</t>
        </is>
      </c>
    </row>
    <row r="11">
      <c r="A11" s="2" t="inlineStr"/>
    </row>
    <row r="12">
      <c r="A12" s="2" t="inlineStr">
        <is>
          <t>Тип модели: знаковая, табличная (реляционная) — три связанные таблицы «Книги», «Читатели», «Выдачи» и расчётный лист «Итоги».</t>
        </is>
      </c>
    </row>
    <row r="13">
      <c r="A13" s="2" t="inlineStr"/>
    </row>
    <row r="14">
      <c r="A14" s="3" t="inlineStr">
        <is>
          <t>Существенные свойства системы</t>
        </is>
      </c>
    </row>
    <row r="15">
      <c r="A15" s="2" t="inlineStr">
        <is>
          <t>Учитываются: книга (автор, название, раздел, год, число экземпляров), читатель (ФИО, класс), факт выдачи (что, кому, когда, срок, возврат).</t>
        </is>
      </c>
    </row>
    <row r="16">
      <c r="A16" s="2" t="inlineStr">
        <is>
          <t>Не учитываются как несущественные для цели: физическое состояние книги, издательство, цена, расположение на полке, читательский формуляр на бумаге.</t>
        </is>
      </c>
    </row>
    <row r="17"/>
    <row r="18">
      <c r="A18" s="4" t="inlineStr">
        <is>
          <t>Параметры модели (синие ячейки можно менять — «эксперимент» с моделью)</t>
        </is>
      </c>
    </row>
    <row r="19">
      <c r="A19" s="5" t="inlineStr">
        <is>
          <t>Срок пользования книгой, дней</t>
        </is>
      </c>
      <c r="B19" s="6" t="n">
        <v>14</v>
      </c>
    </row>
    <row r="20">
      <c r="A20" s="5" t="inlineStr">
        <is>
          <t>Расчётная («сегодняшняя») дата</t>
        </is>
      </c>
      <c r="B20" s="7" t="n">
        <v>46285</v>
      </c>
    </row>
    <row r="21"/>
    <row r="22">
      <c r="A22" s="5" t="inlineStr">
        <is>
          <t>Легенда: синий шрифт — исходные данные, вводимые вручную; чёрный — формулы.</t>
        </is>
      </c>
    </row>
    <row r="23">
      <c r="A23" s="5" t="inlineStr">
        <is>
          <t>Данные учебные, вымышленные; составлены автором работы.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30" customWidth="1" min="3" max="3"/>
    <col width="22" customWidth="1" min="4" max="4"/>
    <col width="13" customWidth="1" min="5" max="5"/>
    <col width="18" customWidth="1" min="6" max="6"/>
  </cols>
  <sheetData>
    <row r="1">
      <c r="A1" s="8" t="inlineStr">
        <is>
          <t>Код книги</t>
        </is>
      </c>
      <c r="B1" s="8" t="inlineStr">
        <is>
          <t>Автор</t>
        </is>
      </c>
      <c r="C1" s="8" t="inlineStr">
        <is>
          <t>Название</t>
        </is>
      </c>
      <c r="D1" s="8" t="inlineStr">
        <is>
          <t>Раздел</t>
        </is>
      </c>
      <c r="E1" s="8" t="inlineStr">
        <is>
          <t>Год издания</t>
        </is>
      </c>
      <c r="F1" s="8" t="inlineStr">
        <is>
          <t>Всего экземпляров</t>
        </is>
      </c>
    </row>
    <row r="2">
      <c r="A2" s="9" t="inlineStr">
        <is>
          <t>K01</t>
        </is>
      </c>
      <c r="B2" s="9" t="inlineStr">
        <is>
          <t>А. С. Пушкин</t>
        </is>
      </c>
      <c r="C2" s="9" t="inlineStr">
        <is>
          <t>Капитанская дочка</t>
        </is>
      </c>
      <c r="D2" s="9" t="inlineStr">
        <is>
          <t>Классика</t>
        </is>
      </c>
      <c r="E2" s="10" t="n">
        <v>2019</v>
      </c>
      <c r="F2" s="10" t="n">
        <v>5</v>
      </c>
    </row>
    <row r="3">
      <c r="A3" s="9" t="inlineStr">
        <is>
          <t>K02</t>
        </is>
      </c>
      <c r="B3" s="9" t="inlineStr">
        <is>
          <t>М. Ю. Лермонтов</t>
        </is>
      </c>
      <c r="C3" s="9" t="inlineStr">
        <is>
          <t>Герой нашего времени</t>
        </is>
      </c>
      <c r="D3" s="9" t="inlineStr">
        <is>
          <t>Классика</t>
        </is>
      </c>
      <c r="E3" s="10" t="n">
        <v>2020</v>
      </c>
      <c r="F3" s="10" t="n">
        <v>4</v>
      </c>
    </row>
    <row r="4">
      <c r="A4" s="9" t="inlineStr">
        <is>
          <t>K03</t>
        </is>
      </c>
      <c r="B4" s="9" t="inlineStr">
        <is>
          <t>Л. Н. Толстой</t>
        </is>
      </c>
      <c r="C4" s="9" t="inlineStr">
        <is>
          <t>Война и мир, том 1</t>
        </is>
      </c>
      <c r="D4" s="9" t="inlineStr">
        <is>
          <t>Классика</t>
        </is>
      </c>
      <c r="E4" s="10" t="n">
        <v>2018</v>
      </c>
      <c r="F4" s="10" t="n">
        <v>3</v>
      </c>
    </row>
    <row r="5">
      <c r="A5" s="9" t="inlineStr">
        <is>
          <t>K04</t>
        </is>
      </c>
      <c r="B5" s="9" t="inlineStr">
        <is>
          <t>Н. В. Гоголь</t>
        </is>
      </c>
      <c r="C5" s="9" t="inlineStr">
        <is>
          <t>Мёртвые души</t>
        </is>
      </c>
      <c r="D5" s="9" t="inlineStr">
        <is>
          <t>Классика</t>
        </is>
      </c>
      <c r="E5" s="10" t="n">
        <v>2021</v>
      </c>
      <c r="F5" s="10" t="n">
        <v>4</v>
      </c>
    </row>
    <row r="6">
      <c r="A6" s="9" t="inlineStr">
        <is>
          <t>K05</t>
        </is>
      </c>
      <c r="B6" s="9" t="inlineStr">
        <is>
          <t>А. П. Чехов</t>
        </is>
      </c>
      <c r="C6" s="9" t="inlineStr">
        <is>
          <t>Рассказы</t>
        </is>
      </c>
      <c r="D6" s="9" t="inlineStr">
        <is>
          <t>Классика</t>
        </is>
      </c>
      <c r="E6" s="10" t="n">
        <v>2017</v>
      </c>
      <c r="F6" s="10" t="n">
        <v>6</v>
      </c>
    </row>
    <row r="7">
      <c r="A7" s="9" t="inlineStr">
        <is>
          <t>K06</t>
        </is>
      </c>
      <c r="B7" s="9" t="inlineStr">
        <is>
          <t>Д. Ю. Усенков</t>
        </is>
      </c>
      <c r="C7" s="9" t="inlineStr">
        <is>
          <t>Информатика. 11 класс</t>
        </is>
      </c>
      <c r="D7" s="9" t="inlineStr">
        <is>
          <t>Учебники</t>
        </is>
      </c>
      <c r="E7" s="10" t="n">
        <v>2022</v>
      </c>
      <c r="F7" s="10" t="n">
        <v>12</v>
      </c>
    </row>
    <row r="8">
      <c r="A8" s="9" t="inlineStr">
        <is>
          <t>K07</t>
        </is>
      </c>
      <c r="B8" s="9" t="inlineStr">
        <is>
          <t>А. Г. Мордкович</t>
        </is>
      </c>
      <c r="C8" s="9" t="inlineStr">
        <is>
          <t>Алгебра. 11 класс</t>
        </is>
      </c>
      <c r="D8" s="9" t="inlineStr">
        <is>
          <t>Учебники</t>
        </is>
      </c>
      <c r="E8" s="10" t="n">
        <v>2022</v>
      </c>
      <c r="F8" s="10" t="n">
        <v>12</v>
      </c>
    </row>
    <row r="9">
      <c r="A9" s="9" t="inlineStr">
        <is>
          <t>K08</t>
        </is>
      </c>
      <c r="B9" s="9" t="inlineStr">
        <is>
          <t>Г. Я. Мякишев</t>
        </is>
      </c>
      <c r="C9" s="9" t="inlineStr">
        <is>
          <t>Физика. 11 класс</t>
        </is>
      </c>
      <c r="D9" s="9" t="inlineStr">
        <is>
          <t>Учебники</t>
        </is>
      </c>
      <c r="E9" s="10" t="n">
        <v>2021</v>
      </c>
      <c r="F9" s="10" t="n">
        <v>10</v>
      </c>
    </row>
    <row r="10">
      <c r="A10" s="9" t="inlineStr">
        <is>
          <t>K09</t>
        </is>
      </c>
      <c r="B10" s="9" t="inlineStr">
        <is>
          <t>С. Хокинг</t>
        </is>
      </c>
      <c r="C10" s="9" t="inlineStr">
        <is>
          <t>Краткая история времени</t>
        </is>
      </c>
      <c r="D10" s="9" t="inlineStr">
        <is>
          <t>Научно-популярная</t>
        </is>
      </c>
      <c r="E10" s="10" t="n">
        <v>2019</v>
      </c>
      <c r="F10" s="10" t="n">
        <v>2</v>
      </c>
    </row>
    <row r="11">
      <c r="A11" s="9" t="inlineStr">
        <is>
          <t>K10</t>
        </is>
      </c>
      <c r="B11" s="9" t="inlineStr">
        <is>
          <t>Я. И. Перельман</t>
        </is>
      </c>
      <c r="C11" s="9" t="inlineStr">
        <is>
          <t>Занимательная физика</t>
        </is>
      </c>
      <c r="D11" s="9" t="inlineStr">
        <is>
          <t>Научно-популярная</t>
        </is>
      </c>
      <c r="E11" s="10" t="n">
        <v>2016</v>
      </c>
      <c r="F11" s="10" t="n">
        <v>3</v>
      </c>
    </row>
    <row r="12">
      <c r="A12" s="9" t="inlineStr">
        <is>
          <t>K11</t>
        </is>
      </c>
      <c r="B12" s="9" t="inlineStr">
        <is>
          <t>Дж. Оруэлл</t>
        </is>
      </c>
      <c r="C12" s="9" t="inlineStr">
        <is>
          <t>1984</t>
        </is>
      </c>
      <c r="D12" s="9" t="inlineStr">
        <is>
          <t>Зарубежная проза</t>
        </is>
      </c>
      <c r="E12" s="10" t="n">
        <v>2020</v>
      </c>
      <c r="F12" s="10" t="n">
        <v>3</v>
      </c>
    </row>
    <row r="13">
      <c r="A13" s="9" t="inlineStr">
        <is>
          <t>K12</t>
        </is>
      </c>
      <c r="B13" s="9" t="inlineStr">
        <is>
          <t>Р. Брэдбери</t>
        </is>
      </c>
      <c r="C13" s="9" t="inlineStr">
        <is>
          <t>451 градус по Фаренгейту</t>
        </is>
      </c>
      <c r="D13" s="9" t="inlineStr">
        <is>
          <t>Зарубежная проза</t>
        </is>
      </c>
      <c r="E13" s="10" t="n">
        <v>2018</v>
      </c>
      <c r="F13" s="10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0" customWidth="1" min="3" max="3"/>
  </cols>
  <sheetData>
    <row r="1">
      <c r="A1" s="8" t="inlineStr">
        <is>
          <t>Код читателя</t>
        </is>
      </c>
      <c r="B1" s="8" t="inlineStr">
        <is>
          <t>ФИО</t>
        </is>
      </c>
      <c r="C1" s="8" t="inlineStr">
        <is>
          <t>Класс</t>
        </is>
      </c>
    </row>
    <row r="2">
      <c r="A2" s="9" t="inlineStr">
        <is>
          <t>R01</t>
        </is>
      </c>
      <c r="B2" s="9" t="inlineStr">
        <is>
          <t>Антонов Артём</t>
        </is>
      </c>
      <c r="C2" s="10" t="inlineStr">
        <is>
          <t>11А</t>
        </is>
      </c>
    </row>
    <row r="3">
      <c r="A3" s="9" t="inlineStr">
        <is>
          <t>R02</t>
        </is>
      </c>
      <c r="B3" s="9" t="inlineStr">
        <is>
          <t>Белова Мария</t>
        </is>
      </c>
      <c r="C3" s="10" t="inlineStr">
        <is>
          <t>11А</t>
        </is>
      </c>
    </row>
    <row r="4">
      <c r="A4" s="9" t="inlineStr">
        <is>
          <t>R03</t>
        </is>
      </c>
      <c r="B4" s="9" t="inlineStr">
        <is>
          <t>Волков Игорь</t>
        </is>
      </c>
      <c r="C4" s="10" t="inlineStr">
        <is>
          <t>11Б</t>
        </is>
      </c>
    </row>
    <row r="5">
      <c r="A5" s="9" t="inlineStr">
        <is>
          <t>R04</t>
        </is>
      </c>
      <c r="B5" s="9" t="inlineStr">
        <is>
          <t>Гришина Ольга</t>
        </is>
      </c>
      <c r="C5" s="10" t="inlineStr">
        <is>
          <t>10А</t>
        </is>
      </c>
    </row>
    <row r="6">
      <c r="A6" s="9" t="inlineStr">
        <is>
          <t>R05</t>
        </is>
      </c>
      <c r="B6" s="9" t="inlineStr">
        <is>
          <t>Дмитриев Пётр</t>
        </is>
      </c>
      <c r="C6" s="10" t="inlineStr">
        <is>
          <t>11Б</t>
        </is>
      </c>
    </row>
    <row r="7">
      <c r="A7" s="9" t="inlineStr">
        <is>
          <t>R06</t>
        </is>
      </c>
      <c r="B7" s="9" t="inlineStr">
        <is>
          <t>Егорова Анна</t>
        </is>
      </c>
      <c r="C7" s="10" t="inlineStr">
        <is>
          <t>10А</t>
        </is>
      </c>
    </row>
    <row r="8">
      <c r="A8" s="9" t="inlineStr">
        <is>
          <t>R07</t>
        </is>
      </c>
      <c r="B8" s="9" t="inlineStr">
        <is>
          <t>Жуков Никита</t>
        </is>
      </c>
      <c r="C8" s="10" t="inlineStr">
        <is>
          <t>9В</t>
        </is>
      </c>
    </row>
    <row r="9">
      <c r="A9" s="9" t="inlineStr">
        <is>
          <t>R08</t>
        </is>
      </c>
      <c r="B9" s="9" t="inlineStr">
        <is>
          <t>Зайцева Дарья</t>
        </is>
      </c>
      <c r="C9" s="10" t="inlineStr">
        <is>
          <t>11А</t>
        </is>
      </c>
    </row>
    <row r="10">
      <c r="A10" s="9" t="inlineStr">
        <is>
          <t>R09</t>
        </is>
      </c>
      <c r="B10" s="9" t="inlineStr">
        <is>
          <t>Иванов Сергей</t>
        </is>
      </c>
      <c r="C10" s="10" t="inlineStr">
        <is>
          <t>10Б</t>
        </is>
      </c>
    </row>
    <row r="11">
      <c r="A11" s="9" t="inlineStr">
        <is>
          <t>R10</t>
        </is>
      </c>
      <c r="B11" s="9" t="inlineStr">
        <is>
          <t>Кузнецова Вера</t>
        </is>
      </c>
      <c r="C11" s="10" t="inlineStr">
        <is>
          <t>9В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28" customWidth="1" min="3" max="3"/>
    <col width="13" customWidth="1" min="4" max="4"/>
    <col width="20" customWidth="1" min="5" max="5"/>
    <col width="10" customWidth="1" min="6" max="6"/>
    <col width="20" customWidth="1" min="7" max="7"/>
    <col width="13" customWidth="1" min="8" max="8"/>
    <col width="14" customWidth="1" min="9" max="9"/>
    <col width="14" customWidth="1" min="10" max="10"/>
    <col width="24" customWidth="1" min="11" max="11"/>
    <col width="14" customWidth="1" min="12" max="12"/>
  </cols>
  <sheetData>
    <row r="1">
      <c r="A1" s="8" t="inlineStr">
        <is>
          <t>№</t>
        </is>
      </c>
      <c r="B1" s="8" t="inlineStr">
        <is>
          <t>Код книги</t>
        </is>
      </c>
      <c r="C1" s="8" t="inlineStr">
        <is>
          <t>Название (авто)</t>
        </is>
      </c>
      <c r="D1" s="8" t="inlineStr">
        <is>
          <t>Код читателя</t>
        </is>
      </c>
      <c r="E1" s="8" t="inlineStr">
        <is>
          <t>Читатель (авто)</t>
        </is>
      </c>
      <c r="F1" s="8" t="inlineStr">
        <is>
          <t>Класс (авто)</t>
        </is>
      </c>
      <c r="G1" s="8" t="inlineStr">
        <is>
          <t>Раздел (авто)</t>
        </is>
      </c>
      <c r="H1" s="8" t="inlineStr">
        <is>
          <t>Дата выдачи</t>
        </is>
      </c>
      <c r="I1" s="8" t="inlineStr">
        <is>
          <t>Вернуть до (авто)</t>
        </is>
      </c>
      <c r="J1" s="8" t="inlineStr">
        <is>
          <t>Дата возврата</t>
        </is>
      </c>
      <c r="K1" s="8" t="inlineStr">
        <is>
          <t>Статус (авто)</t>
        </is>
      </c>
      <c r="L1" s="8" t="inlineStr">
        <is>
          <t>Дней просрочки (авто)</t>
        </is>
      </c>
    </row>
    <row r="2">
      <c r="A2" s="11" t="n">
        <v>1</v>
      </c>
      <c r="B2" s="10" t="inlineStr">
        <is>
          <t>K01</t>
        </is>
      </c>
      <c r="C2" s="12">
        <f>IFERROR(INDEX(Книги!$C$2:$C$13,MATCH($B2,Книги!$A$2:$A$13,0)),"нет такой книги")</f>
        <v/>
      </c>
      <c r="D2" s="10" t="inlineStr">
        <is>
          <t>R01</t>
        </is>
      </c>
      <c r="E2" s="12">
        <f>IFERROR(INDEX(Читатели!$B$2:$B$11,MATCH($D2,Читатели!$A$2:$A$11,0)),"нет читателя")</f>
        <v/>
      </c>
      <c r="F2" s="11">
        <f>IFERROR(INDEX(Читатели!$C$2:$C$11,MATCH($D2,Читатели!$A$2:$A$11,0)),"")</f>
        <v/>
      </c>
      <c r="G2" s="12">
        <f>IFERROR(INDEX(Книги!$D$2:$D$13,MATCH($B2,Книги!$A$2:$A$13,0)),"")</f>
        <v/>
      </c>
      <c r="H2" s="13" t="n">
        <v>46266</v>
      </c>
      <c r="I2" s="14">
        <f>$H2+Модель!$B$19</f>
        <v/>
      </c>
      <c r="J2" s="13" t="n">
        <v>46277</v>
      </c>
      <c r="K2" s="12">
        <f>IF($J2="",IF(Модель!$B$20&gt;$I2,"Просрочено","На руках"),IF($J2&gt;$I2,"Возвращено с опозданием","Возвращено"))</f>
        <v/>
      </c>
      <c r="L2" s="11">
        <f>IF($J2="",MAX(0,Модель!$B$20-$I2),MAX(0,$J2-$I2))</f>
        <v/>
      </c>
    </row>
    <row r="3">
      <c r="A3" s="11" t="n">
        <v>2</v>
      </c>
      <c r="B3" s="10" t="inlineStr">
        <is>
          <t>K01</t>
        </is>
      </c>
      <c r="C3" s="12">
        <f>IFERROR(INDEX(Книги!$C$2:$C$13,MATCH($B3,Книги!$A$2:$A$13,0)),"нет такой книги")</f>
        <v/>
      </c>
      <c r="D3" s="10" t="inlineStr">
        <is>
          <t>R04</t>
        </is>
      </c>
      <c r="E3" s="12">
        <f>IFERROR(INDEX(Читатели!$B$2:$B$11,MATCH($D3,Читатели!$A$2:$A$11,0)),"нет читателя")</f>
        <v/>
      </c>
      <c r="F3" s="11">
        <f>IFERROR(INDEX(Читатели!$C$2:$C$11,MATCH($D3,Читатели!$A$2:$A$11,0)),"")</f>
        <v/>
      </c>
      <c r="G3" s="12">
        <f>IFERROR(INDEX(Книги!$D$2:$D$13,MATCH($B3,Книги!$A$2:$A$13,0)),"")</f>
        <v/>
      </c>
      <c r="H3" s="13" t="n">
        <v>46268</v>
      </c>
      <c r="I3" s="14">
        <f>$H3+Модель!$B$19</f>
        <v/>
      </c>
      <c r="J3" s="13" t="n"/>
      <c r="K3" s="12">
        <f>IF($J3="",IF(Модель!$B$20&gt;$I3,"Просрочено","На руках"),IF($J3&gt;$I3,"Возвращено с опозданием","Возвращено"))</f>
        <v/>
      </c>
      <c r="L3" s="11">
        <f>IF($J3="",MAX(0,Модель!$B$20-$I3),MAX(0,$J3-$I3))</f>
        <v/>
      </c>
    </row>
    <row r="4">
      <c r="A4" s="11" t="n">
        <v>3</v>
      </c>
      <c r="B4" s="10" t="inlineStr">
        <is>
          <t>K02</t>
        </is>
      </c>
      <c r="C4" s="12">
        <f>IFERROR(INDEX(Книги!$C$2:$C$13,MATCH($B4,Книги!$A$2:$A$13,0)),"нет такой книги")</f>
        <v/>
      </c>
      <c r="D4" s="10" t="inlineStr">
        <is>
          <t>R02</t>
        </is>
      </c>
      <c r="E4" s="12">
        <f>IFERROR(INDEX(Читатели!$B$2:$B$11,MATCH($D4,Читатели!$A$2:$A$11,0)),"нет читателя")</f>
        <v/>
      </c>
      <c r="F4" s="11">
        <f>IFERROR(INDEX(Читатели!$C$2:$C$11,MATCH($D4,Читатели!$A$2:$A$11,0)),"")</f>
        <v/>
      </c>
      <c r="G4" s="12">
        <f>IFERROR(INDEX(Книги!$D$2:$D$13,MATCH($B4,Книги!$A$2:$A$13,0)),"")</f>
        <v/>
      </c>
      <c r="H4" s="13" t="n">
        <v>46259</v>
      </c>
      <c r="I4" s="14">
        <f>$H4+Модель!$B$19</f>
        <v/>
      </c>
      <c r="J4" s="13" t="n">
        <v>46275</v>
      </c>
      <c r="K4" s="12">
        <f>IF($J4="",IF(Модель!$B$20&gt;$I4,"Просрочено","На руках"),IF($J4&gt;$I4,"Возвращено с опозданием","Возвращено"))</f>
        <v/>
      </c>
      <c r="L4" s="11">
        <f>IF($J4="",MAX(0,Модель!$B$20-$I4),MAX(0,$J4-$I4))</f>
        <v/>
      </c>
    </row>
    <row r="5">
      <c r="A5" s="11" t="n">
        <v>4</v>
      </c>
      <c r="B5" s="10" t="inlineStr">
        <is>
          <t>K03</t>
        </is>
      </c>
      <c r="C5" s="12">
        <f>IFERROR(INDEX(Книги!$C$2:$C$13,MATCH($B5,Книги!$A$2:$A$13,0)),"нет такой книги")</f>
        <v/>
      </c>
      <c r="D5" s="10" t="inlineStr">
        <is>
          <t>R03</t>
        </is>
      </c>
      <c r="E5" s="12">
        <f>IFERROR(INDEX(Читатели!$B$2:$B$11,MATCH($D5,Читатели!$A$2:$A$11,0)),"нет читателя")</f>
        <v/>
      </c>
      <c r="F5" s="11">
        <f>IFERROR(INDEX(Читатели!$C$2:$C$11,MATCH($D5,Читатели!$A$2:$A$11,0)),"")</f>
        <v/>
      </c>
      <c r="G5" s="12">
        <f>IFERROR(INDEX(Книги!$D$2:$D$13,MATCH($B5,Книги!$A$2:$A$13,0)),"")</f>
        <v/>
      </c>
      <c r="H5" s="13" t="n">
        <v>46270</v>
      </c>
      <c r="I5" s="14">
        <f>$H5+Модель!$B$19</f>
        <v/>
      </c>
      <c r="J5" s="13" t="n"/>
      <c r="K5" s="12">
        <f>IF($J5="",IF(Модель!$B$20&gt;$I5,"Просрочено","На руках"),IF($J5&gt;$I5,"Возвращено с опозданием","Возвращено"))</f>
        <v/>
      </c>
      <c r="L5" s="11">
        <f>IF($J5="",MAX(0,Модель!$B$20-$I5),MAX(0,$J5-$I5))</f>
        <v/>
      </c>
    </row>
    <row r="6">
      <c r="A6" s="11" t="n">
        <v>5</v>
      </c>
      <c r="B6" s="10" t="inlineStr">
        <is>
          <t>K04</t>
        </is>
      </c>
      <c r="C6" s="12">
        <f>IFERROR(INDEX(Книги!$C$2:$C$13,MATCH($B6,Книги!$A$2:$A$13,0)),"нет такой книги")</f>
        <v/>
      </c>
      <c r="D6" s="10" t="inlineStr">
        <is>
          <t>R05</t>
        </is>
      </c>
      <c r="E6" s="12">
        <f>IFERROR(INDEX(Читатели!$B$2:$B$11,MATCH($D6,Читатели!$A$2:$A$11,0)),"нет читателя")</f>
        <v/>
      </c>
      <c r="F6" s="11">
        <f>IFERROR(INDEX(Читатели!$C$2:$C$11,MATCH($D6,Читатели!$A$2:$A$11,0)),"")</f>
        <v/>
      </c>
      <c r="G6" s="12">
        <f>IFERROR(INDEX(Книги!$D$2:$D$13,MATCH($B6,Книги!$A$2:$A$13,0)),"")</f>
        <v/>
      </c>
      <c r="H6" s="13" t="n">
        <v>46254</v>
      </c>
      <c r="I6" s="14">
        <f>$H6+Модель!$B$19</f>
        <v/>
      </c>
      <c r="J6" s="13" t="n"/>
      <c r="K6" s="12">
        <f>IF($J6="",IF(Модель!$B$20&gt;$I6,"Просрочено","На руках"),IF($J6&gt;$I6,"Возвращено с опозданием","Возвращено"))</f>
        <v/>
      </c>
      <c r="L6" s="11">
        <f>IF($J6="",MAX(0,Модель!$B$20-$I6),MAX(0,$J6-$I6))</f>
        <v/>
      </c>
    </row>
    <row r="7">
      <c r="A7" s="11" t="n">
        <v>6</v>
      </c>
      <c r="B7" s="10" t="inlineStr">
        <is>
          <t>K05</t>
        </is>
      </c>
      <c r="C7" s="12">
        <f>IFERROR(INDEX(Книги!$C$2:$C$13,MATCH($B7,Книги!$A$2:$A$13,0)),"нет такой книги")</f>
        <v/>
      </c>
      <c r="D7" s="10" t="inlineStr">
        <is>
          <t>R06</t>
        </is>
      </c>
      <c r="E7" s="12">
        <f>IFERROR(INDEX(Читатели!$B$2:$B$11,MATCH($D7,Читатели!$A$2:$A$11,0)),"нет читателя")</f>
        <v/>
      </c>
      <c r="F7" s="11">
        <f>IFERROR(INDEX(Читатели!$C$2:$C$11,MATCH($D7,Читатели!$A$2:$A$11,0)),"")</f>
        <v/>
      </c>
      <c r="G7" s="12">
        <f>IFERROR(INDEX(Книги!$D$2:$D$13,MATCH($B7,Книги!$A$2:$A$13,0)),"")</f>
        <v/>
      </c>
      <c r="H7" s="13" t="n">
        <v>46273</v>
      </c>
      <c r="I7" s="14">
        <f>$H7+Модель!$B$19</f>
        <v/>
      </c>
      <c r="J7" s="13" t="n"/>
      <c r="K7" s="12">
        <f>IF($J7="",IF(Модель!$B$20&gt;$I7,"Просрочено","На руках"),IF($J7&gt;$I7,"Возвращено с опозданием","Возвращено"))</f>
        <v/>
      </c>
      <c r="L7" s="11">
        <f>IF($J7="",MAX(0,Модель!$B$20-$I7),MAX(0,$J7-$I7))</f>
        <v/>
      </c>
    </row>
    <row r="8">
      <c r="A8" s="11" t="n">
        <v>7</v>
      </c>
      <c r="B8" s="10" t="inlineStr">
        <is>
          <t>K05</t>
        </is>
      </c>
      <c r="C8" s="12">
        <f>IFERROR(INDEX(Книги!$C$2:$C$13,MATCH($B8,Книги!$A$2:$A$13,0)),"нет такой книги")</f>
        <v/>
      </c>
      <c r="D8" s="10" t="inlineStr">
        <is>
          <t>R07</t>
        </is>
      </c>
      <c r="E8" s="12">
        <f>IFERROR(INDEX(Читатели!$B$2:$B$11,MATCH($D8,Читатели!$A$2:$A$11,0)),"нет читателя")</f>
        <v/>
      </c>
      <c r="F8" s="11">
        <f>IFERROR(INDEX(Читатели!$C$2:$C$11,MATCH($D8,Читатели!$A$2:$A$11,0)),"")</f>
        <v/>
      </c>
      <c r="G8" s="12">
        <f>IFERROR(INDEX(Книги!$D$2:$D$13,MATCH($B8,Книги!$A$2:$A$13,0)),"")</f>
        <v/>
      </c>
      <c r="H8" s="13" t="n">
        <v>46274</v>
      </c>
      <c r="I8" s="14">
        <f>$H8+Модель!$B$19</f>
        <v/>
      </c>
      <c r="J8" s="13" t="n">
        <v>46283</v>
      </c>
      <c r="K8" s="12">
        <f>IF($J8="",IF(Модель!$B$20&gt;$I8,"Просрочено","На руках"),IF($J8&gt;$I8,"Возвращено с опозданием","Возвращено"))</f>
        <v/>
      </c>
      <c r="L8" s="11">
        <f>IF($J8="",MAX(0,Модель!$B$20-$I8),MAX(0,$J8-$I8))</f>
        <v/>
      </c>
    </row>
    <row r="9">
      <c r="A9" s="11" t="n">
        <v>8</v>
      </c>
      <c r="B9" s="10" t="inlineStr">
        <is>
          <t>K06</t>
        </is>
      </c>
      <c r="C9" s="12">
        <f>IFERROR(INDEX(Книги!$C$2:$C$13,MATCH($B9,Книги!$A$2:$A$13,0)),"нет такой книги")</f>
        <v/>
      </c>
      <c r="D9" s="10" t="inlineStr">
        <is>
          <t>R01</t>
        </is>
      </c>
      <c r="E9" s="12">
        <f>IFERROR(INDEX(Читатели!$B$2:$B$11,MATCH($D9,Читатели!$A$2:$A$11,0)),"нет читателя")</f>
        <v/>
      </c>
      <c r="F9" s="11">
        <f>IFERROR(INDEX(Читатели!$C$2:$C$11,MATCH($D9,Читатели!$A$2:$A$11,0)),"")</f>
        <v/>
      </c>
      <c r="G9" s="12">
        <f>IFERROR(INDEX(Книги!$D$2:$D$13,MATCH($B9,Книги!$A$2:$A$13,0)),"")</f>
        <v/>
      </c>
      <c r="H9" s="13" t="n">
        <v>46266</v>
      </c>
      <c r="I9" s="14">
        <f>$H9+Модель!$B$19</f>
        <v/>
      </c>
      <c r="J9" s="13" t="n"/>
      <c r="K9" s="12">
        <f>IF($J9="",IF(Модель!$B$20&gt;$I9,"Просрочено","На руках"),IF($J9&gt;$I9,"Возвращено с опозданием","Возвращено"))</f>
        <v/>
      </c>
      <c r="L9" s="11">
        <f>IF($J9="",MAX(0,Модель!$B$20-$I9),MAX(0,$J9-$I9))</f>
        <v/>
      </c>
    </row>
    <row r="10">
      <c r="A10" s="11" t="n">
        <v>9</v>
      </c>
      <c r="B10" s="10" t="inlineStr">
        <is>
          <t>K06</t>
        </is>
      </c>
      <c r="C10" s="12">
        <f>IFERROR(INDEX(Книги!$C$2:$C$13,MATCH($B10,Книги!$A$2:$A$13,0)),"нет такой книги")</f>
        <v/>
      </c>
      <c r="D10" s="10" t="inlineStr">
        <is>
          <t>R02</t>
        </is>
      </c>
      <c r="E10" s="12">
        <f>IFERROR(INDEX(Читатели!$B$2:$B$11,MATCH($D10,Читатели!$A$2:$A$11,0)),"нет читателя")</f>
        <v/>
      </c>
      <c r="F10" s="11">
        <f>IFERROR(INDEX(Читатели!$C$2:$C$11,MATCH($D10,Читатели!$A$2:$A$11,0)),"")</f>
        <v/>
      </c>
      <c r="G10" s="12">
        <f>IFERROR(INDEX(Книги!$D$2:$D$13,MATCH($B10,Книги!$A$2:$A$13,0)),"")</f>
        <v/>
      </c>
      <c r="H10" s="13" t="n">
        <v>46266</v>
      </c>
      <c r="I10" s="14">
        <f>$H10+Модель!$B$19</f>
        <v/>
      </c>
      <c r="J10" s="13" t="n"/>
      <c r="K10" s="12">
        <f>IF($J10="",IF(Модель!$B$20&gt;$I10,"Просрочено","На руках"),IF($J10&gt;$I10,"Возвращено с опозданием","Возвращено"))</f>
        <v/>
      </c>
      <c r="L10" s="11">
        <f>IF($J10="",MAX(0,Модель!$B$20-$I10),MAX(0,$J10-$I10))</f>
        <v/>
      </c>
    </row>
    <row r="11">
      <c r="A11" s="11" t="n">
        <v>10</v>
      </c>
      <c r="B11" s="10" t="inlineStr">
        <is>
          <t>K06</t>
        </is>
      </c>
      <c r="C11" s="12">
        <f>IFERROR(INDEX(Книги!$C$2:$C$13,MATCH($B11,Книги!$A$2:$A$13,0)),"нет такой книги")</f>
        <v/>
      </c>
      <c r="D11" s="10" t="inlineStr">
        <is>
          <t>R08</t>
        </is>
      </c>
      <c r="E11" s="12">
        <f>IFERROR(INDEX(Читатели!$B$2:$B$11,MATCH($D11,Читатели!$A$2:$A$11,0)),"нет читателя")</f>
        <v/>
      </c>
      <c r="F11" s="11">
        <f>IFERROR(INDEX(Читатели!$C$2:$C$11,MATCH($D11,Читатели!$A$2:$A$11,0)),"")</f>
        <v/>
      </c>
      <c r="G11" s="12">
        <f>IFERROR(INDEX(Книги!$D$2:$D$13,MATCH($B11,Книги!$A$2:$A$13,0)),"")</f>
        <v/>
      </c>
      <c r="H11" s="13" t="n">
        <v>46266</v>
      </c>
      <c r="I11" s="14">
        <f>$H11+Модель!$B$19</f>
        <v/>
      </c>
      <c r="J11" s="13" t="n"/>
      <c r="K11" s="12">
        <f>IF($J11="",IF(Модель!$B$20&gt;$I11,"Просрочено","На руках"),IF($J11&gt;$I11,"Возвращено с опозданием","Возвращено"))</f>
        <v/>
      </c>
      <c r="L11" s="11">
        <f>IF($J11="",MAX(0,Модель!$B$20-$I11),MAX(0,$J11-$I11))</f>
        <v/>
      </c>
    </row>
    <row r="12">
      <c r="A12" s="11" t="n">
        <v>11</v>
      </c>
      <c r="B12" s="10" t="inlineStr">
        <is>
          <t>K07</t>
        </is>
      </c>
      <c r="C12" s="12">
        <f>IFERROR(INDEX(Книги!$C$2:$C$13,MATCH($B12,Книги!$A$2:$A$13,0)),"нет такой книги")</f>
        <v/>
      </c>
      <c r="D12" s="10" t="inlineStr">
        <is>
          <t>R01</t>
        </is>
      </c>
      <c r="E12" s="12">
        <f>IFERROR(INDEX(Читатели!$B$2:$B$11,MATCH($D12,Читатели!$A$2:$A$11,0)),"нет читателя")</f>
        <v/>
      </c>
      <c r="F12" s="11">
        <f>IFERROR(INDEX(Читатели!$C$2:$C$11,MATCH($D12,Читатели!$A$2:$A$11,0)),"")</f>
        <v/>
      </c>
      <c r="G12" s="12">
        <f>IFERROR(INDEX(Книги!$D$2:$D$13,MATCH($B12,Книги!$A$2:$A$13,0)),"")</f>
        <v/>
      </c>
      <c r="H12" s="13" t="n">
        <v>46266</v>
      </c>
      <c r="I12" s="14">
        <f>$H12+Модель!$B$19</f>
        <v/>
      </c>
      <c r="J12" s="13" t="n"/>
      <c r="K12" s="12">
        <f>IF($J12="",IF(Модель!$B$20&gt;$I12,"Просрочено","На руках"),IF($J12&gt;$I12,"Возвращено с опозданием","Возвращено"))</f>
        <v/>
      </c>
      <c r="L12" s="11">
        <f>IF($J12="",MAX(0,Модель!$B$20-$I12),MAX(0,$J12-$I12))</f>
        <v/>
      </c>
    </row>
    <row r="13">
      <c r="A13" s="11" t="n">
        <v>12</v>
      </c>
      <c r="B13" s="10" t="inlineStr">
        <is>
          <t>K07</t>
        </is>
      </c>
      <c r="C13" s="12">
        <f>IFERROR(INDEX(Книги!$C$2:$C$13,MATCH($B13,Книги!$A$2:$A$13,0)),"нет такой книги")</f>
        <v/>
      </c>
      <c r="D13" s="10" t="inlineStr">
        <is>
          <t>R03</t>
        </is>
      </c>
      <c r="E13" s="12">
        <f>IFERROR(INDEX(Читатели!$B$2:$B$11,MATCH($D13,Читатели!$A$2:$A$11,0)),"нет читателя")</f>
        <v/>
      </c>
      <c r="F13" s="11">
        <f>IFERROR(INDEX(Читатели!$C$2:$C$11,MATCH($D13,Читатели!$A$2:$A$11,0)),"")</f>
        <v/>
      </c>
      <c r="G13" s="12">
        <f>IFERROR(INDEX(Книги!$D$2:$D$13,MATCH($B13,Книги!$A$2:$A$13,0)),"")</f>
        <v/>
      </c>
      <c r="H13" s="13" t="n">
        <v>46267</v>
      </c>
      <c r="I13" s="14">
        <f>$H13+Модель!$B$19</f>
        <v/>
      </c>
      <c r="J13" s="13" t="n"/>
      <c r="K13" s="12">
        <f>IF($J13="",IF(Модель!$B$20&gt;$I13,"Просрочено","На руках"),IF($J13&gt;$I13,"Возвращено с опозданием","Возвращено"))</f>
        <v/>
      </c>
      <c r="L13" s="11">
        <f>IF($J13="",MAX(0,Модель!$B$20-$I13),MAX(0,$J13-$I13))</f>
        <v/>
      </c>
    </row>
    <row r="14">
      <c r="A14" s="11" t="n">
        <v>13</v>
      </c>
      <c r="B14" s="10" t="inlineStr">
        <is>
          <t>K08</t>
        </is>
      </c>
      <c r="C14" s="12">
        <f>IFERROR(INDEX(Книги!$C$2:$C$13,MATCH($B14,Книги!$A$2:$A$13,0)),"нет такой книги")</f>
        <v/>
      </c>
      <c r="D14" s="10" t="inlineStr">
        <is>
          <t>R05</t>
        </is>
      </c>
      <c r="E14" s="12">
        <f>IFERROR(INDEX(Читатели!$B$2:$B$11,MATCH($D14,Читатели!$A$2:$A$11,0)),"нет читателя")</f>
        <v/>
      </c>
      <c r="F14" s="11">
        <f>IFERROR(INDEX(Читатели!$C$2:$C$11,MATCH($D14,Читатели!$A$2:$A$11,0)),"")</f>
        <v/>
      </c>
      <c r="G14" s="12">
        <f>IFERROR(INDEX(Книги!$D$2:$D$13,MATCH($B14,Книги!$A$2:$A$13,0)),"")</f>
        <v/>
      </c>
      <c r="H14" s="13" t="n">
        <v>46267</v>
      </c>
      <c r="I14" s="14">
        <f>$H14+Модель!$B$19</f>
        <v/>
      </c>
      <c r="J14" s="13" t="n"/>
      <c r="K14" s="12">
        <f>IF($J14="",IF(Модель!$B$20&gt;$I14,"Просрочено","На руках"),IF($J14&gt;$I14,"Возвращено с опозданием","Возвращено"))</f>
        <v/>
      </c>
      <c r="L14" s="11">
        <f>IF($J14="",MAX(0,Модель!$B$20-$I14),MAX(0,$J14-$I14))</f>
        <v/>
      </c>
    </row>
    <row r="15">
      <c r="A15" s="11" t="n">
        <v>14</v>
      </c>
      <c r="B15" s="10" t="inlineStr">
        <is>
          <t>K08</t>
        </is>
      </c>
      <c r="C15" s="12">
        <f>IFERROR(INDEX(Книги!$C$2:$C$13,MATCH($B15,Книги!$A$2:$A$13,0)),"нет такой книги")</f>
        <v/>
      </c>
      <c r="D15" s="10" t="inlineStr">
        <is>
          <t>R08</t>
        </is>
      </c>
      <c r="E15" s="12">
        <f>IFERROR(INDEX(Читатели!$B$2:$B$11,MATCH($D15,Читатели!$A$2:$A$11,0)),"нет читателя")</f>
        <v/>
      </c>
      <c r="F15" s="11">
        <f>IFERROR(INDEX(Читатели!$C$2:$C$11,MATCH($D15,Читатели!$A$2:$A$11,0)),"")</f>
        <v/>
      </c>
      <c r="G15" s="12">
        <f>IFERROR(INDEX(Книги!$D$2:$D$13,MATCH($B15,Книги!$A$2:$A$13,0)),"")</f>
        <v/>
      </c>
      <c r="H15" s="13" t="n">
        <v>46267</v>
      </c>
      <c r="I15" s="14">
        <f>$H15+Модель!$B$19</f>
        <v/>
      </c>
      <c r="J15" s="13" t="n"/>
      <c r="K15" s="12">
        <f>IF($J15="",IF(Модель!$B$20&gt;$I15,"Просрочено","На руках"),IF($J15&gt;$I15,"Возвращено с опозданием","Возвращено"))</f>
        <v/>
      </c>
      <c r="L15" s="11">
        <f>IF($J15="",MAX(0,Модель!$B$20-$I15),MAX(0,$J15-$I15))</f>
        <v/>
      </c>
    </row>
    <row r="16">
      <c r="A16" s="11" t="n">
        <v>15</v>
      </c>
      <c r="B16" s="10" t="inlineStr">
        <is>
          <t>K09</t>
        </is>
      </c>
      <c r="C16" s="12">
        <f>IFERROR(INDEX(Книги!$C$2:$C$13,MATCH($B16,Книги!$A$2:$A$13,0)),"нет такой книги")</f>
        <v/>
      </c>
      <c r="D16" s="10" t="inlineStr">
        <is>
          <t>R09</t>
        </is>
      </c>
      <c r="E16" s="12">
        <f>IFERROR(INDEX(Читатели!$B$2:$B$11,MATCH($D16,Читатели!$A$2:$A$11,0)),"нет читателя")</f>
        <v/>
      </c>
      <c r="F16" s="11">
        <f>IFERROR(INDEX(Читатели!$C$2:$C$11,MATCH($D16,Читатели!$A$2:$A$11,0)),"")</f>
        <v/>
      </c>
      <c r="G16" s="12">
        <f>IFERROR(INDEX(Книги!$D$2:$D$13,MATCH($B16,Книги!$A$2:$A$13,0)),"")</f>
        <v/>
      </c>
      <c r="H16" s="13" t="n">
        <v>46262</v>
      </c>
      <c r="I16" s="14">
        <f>$H16+Модель!$B$19</f>
        <v/>
      </c>
      <c r="J16" s="13" t="n"/>
      <c r="K16" s="12">
        <f>IF($J16="",IF(Модель!$B$20&gt;$I16,"Просрочено","На руках"),IF($J16&gt;$I16,"Возвращено с опозданием","Возвращено"))</f>
        <v/>
      </c>
      <c r="L16" s="11">
        <f>IF($J16="",MAX(0,Модель!$B$20-$I16),MAX(0,$J16-$I16))</f>
        <v/>
      </c>
    </row>
    <row r="17">
      <c r="A17" s="11" t="n">
        <v>16</v>
      </c>
      <c r="B17" s="10" t="inlineStr">
        <is>
          <t>K09</t>
        </is>
      </c>
      <c r="C17" s="12">
        <f>IFERROR(INDEX(Книги!$C$2:$C$13,MATCH($B17,Книги!$A$2:$A$13,0)),"нет такой книги")</f>
        <v/>
      </c>
      <c r="D17" s="10" t="inlineStr">
        <is>
          <t>R02</t>
        </is>
      </c>
      <c r="E17" s="12">
        <f>IFERROR(INDEX(Читатели!$B$2:$B$11,MATCH($D17,Читатели!$A$2:$A$11,0)),"нет читателя")</f>
        <v/>
      </c>
      <c r="F17" s="11">
        <f>IFERROR(INDEX(Читатели!$C$2:$C$11,MATCH($D17,Читатели!$A$2:$A$11,0)),"")</f>
        <v/>
      </c>
      <c r="G17" s="12">
        <f>IFERROR(INDEX(Книги!$D$2:$D$13,MATCH($B17,Книги!$A$2:$A$13,0)),"")</f>
        <v/>
      </c>
      <c r="H17" s="13" t="n">
        <v>46280</v>
      </c>
      <c r="I17" s="14">
        <f>$H17+Модель!$B$19</f>
        <v/>
      </c>
      <c r="J17" s="13" t="n"/>
      <c r="K17" s="12">
        <f>IF($J17="",IF(Модель!$B$20&gt;$I17,"Просрочено","На руках"),IF($J17&gt;$I17,"Возвращено с опозданием","Возвращено"))</f>
        <v/>
      </c>
      <c r="L17" s="11">
        <f>IF($J17="",MAX(0,Модель!$B$20-$I17),MAX(0,$J17-$I17))</f>
        <v/>
      </c>
    </row>
    <row r="18">
      <c r="A18" s="11" t="n">
        <v>17</v>
      </c>
      <c r="B18" s="10" t="inlineStr">
        <is>
          <t>K10</t>
        </is>
      </c>
      <c r="C18" s="12">
        <f>IFERROR(INDEX(Книги!$C$2:$C$13,MATCH($B18,Книги!$A$2:$A$13,0)),"нет такой книги")</f>
        <v/>
      </c>
      <c r="D18" s="10" t="inlineStr">
        <is>
          <t>R10</t>
        </is>
      </c>
      <c r="E18" s="12">
        <f>IFERROR(INDEX(Читатели!$B$2:$B$11,MATCH($D18,Читатели!$A$2:$A$11,0)),"нет читателя")</f>
        <v/>
      </c>
      <c r="F18" s="11">
        <f>IFERROR(INDEX(Читатели!$C$2:$C$11,MATCH($D18,Читатели!$A$2:$A$11,0)),"")</f>
        <v/>
      </c>
      <c r="G18" s="12">
        <f>IFERROR(INDEX(Книги!$D$2:$D$13,MATCH($B18,Книги!$A$2:$A$13,0)),"")</f>
        <v/>
      </c>
      <c r="H18" s="13" t="n">
        <v>46275</v>
      </c>
      <c r="I18" s="14">
        <f>$H18+Модель!$B$19</f>
        <v/>
      </c>
      <c r="J18" s="13" t="n">
        <v>46282</v>
      </c>
      <c r="K18" s="12">
        <f>IF($J18="",IF(Модель!$B$20&gt;$I18,"Просрочено","На руках"),IF($J18&gt;$I18,"Возвращено с опозданием","Возвращено"))</f>
        <v/>
      </c>
      <c r="L18" s="11">
        <f>IF($J18="",MAX(0,Модель!$B$20-$I18),MAX(0,$J18-$I18))</f>
        <v/>
      </c>
    </row>
    <row r="19">
      <c r="A19" s="11" t="n">
        <v>18</v>
      </c>
      <c r="B19" s="10" t="inlineStr">
        <is>
          <t>K10</t>
        </is>
      </c>
      <c r="C19" s="12">
        <f>IFERROR(INDEX(Книги!$C$2:$C$13,MATCH($B19,Книги!$A$2:$A$13,0)),"нет такой книги")</f>
        <v/>
      </c>
      <c r="D19" s="10" t="inlineStr">
        <is>
          <t>R07</t>
        </is>
      </c>
      <c r="E19" s="12">
        <f>IFERROR(INDEX(Читатели!$B$2:$B$11,MATCH($D19,Читатели!$A$2:$A$11,0)),"нет читателя")</f>
        <v/>
      </c>
      <c r="F19" s="11">
        <f>IFERROR(INDEX(Читатели!$C$2:$C$11,MATCH($D19,Читатели!$A$2:$A$11,0)),"")</f>
        <v/>
      </c>
      <c r="G19" s="12">
        <f>IFERROR(INDEX(Книги!$D$2:$D$13,MATCH($B19,Книги!$A$2:$A$13,0)),"")</f>
        <v/>
      </c>
      <c r="H19" s="13" t="n">
        <v>46277</v>
      </c>
      <c r="I19" s="14">
        <f>$H19+Модель!$B$19</f>
        <v/>
      </c>
      <c r="J19" s="13" t="n"/>
      <c r="K19" s="12">
        <f>IF($J19="",IF(Модель!$B$20&gt;$I19,"Просрочено","На руках"),IF($J19&gt;$I19,"Возвращено с опозданием","Возвращено"))</f>
        <v/>
      </c>
      <c r="L19" s="11">
        <f>IF($J19="",MAX(0,Модель!$B$20-$I19),MAX(0,$J19-$I19))</f>
        <v/>
      </c>
    </row>
    <row r="20">
      <c r="A20" s="11" t="n">
        <v>19</v>
      </c>
      <c r="B20" s="10" t="inlineStr">
        <is>
          <t>K11</t>
        </is>
      </c>
      <c r="C20" s="12">
        <f>IFERROR(INDEX(Книги!$C$2:$C$13,MATCH($B20,Книги!$A$2:$A$13,0)),"нет такой книги")</f>
        <v/>
      </c>
      <c r="D20" s="10" t="inlineStr">
        <is>
          <t>R08</t>
        </is>
      </c>
      <c r="E20" s="12">
        <f>IFERROR(INDEX(Читатели!$B$2:$B$11,MATCH($D20,Читатели!$A$2:$A$11,0)),"нет читателя")</f>
        <v/>
      </c>
      <c r="F20" s="11">
        <f>IFERROR(INDEX(Читатели!$C$2:$C$11,MATCH($D20,Читатели!$A$2:$A$11,0)),"")</f>
        <v/>
      </c>
      <c r="G20" s="12">
        <f>IFERROR(INDEX(Книги!$D$2:$D$13,MATCH($B20,Книги!$A$2:$A$13,0)),"")</f>
        <v/>
      </c>
      <c r="H20" s="13" t="n">
        <v>46264</v>
      </c>
      <c r="I20" s="14">
        <f>$H20+Модель!$B$19</f>
        <v/>
      </c>
      <c r="J20" s="13" t="n"/>
      <c r="K20" s="12">
        <f>IF($J20="",IF(Модель!$B$20&gt;$I20,"Просрочено","На руках"),IF($J20&gt;$I20,"Возвращено с опозданием","Возвращено"))</f>
        <v/>
      </c>
      <c r="L20" s="11">
        <f>IF($J20="",MAX(0,Модель!$B$20-$I20),MAX(0,$J20-$I20))</f>
        <v/>
      </c>
    </row>
    <row r="21">
      <c r="A21" s="11" t="n">
        <v>20</v>
      </c>
      <c r="B21" s="10" t="inlineStr">
        <is>
          <t>K11</t>
        </is>
      </c>
      <c r="C21" s="12">
        <f>IFERROR(INDEX(Книги!$C$2:$C$13,MATCH($B21,Книги!$A$2:$A$13,0)),"нет такой книги")</f>
        <v/>
      </c>
      <c r="D21" s="10" t="inlineStr">
        <is>
          <t>R04</t>
        </is>
      </c>
      <c r="E21" s="12">
        <f>IFERROR(INDEX(Читатели!$B$2:$B$11,MATCH($D21,Читатели!$A$2:$A$11,0)),"нет читателя")</f>
        <v/>
      </c>
      <c r="F21" s="11">
        <f>IFERROR(INDEX(Читатели!$C$2:$C$11,MATCH($D21,Читатели!$A$2:$A$11,0)),"")</f>
        <v/>
      </c>
      <c r="G21" s="12">
        <f>IFERROR(INDEX(Книги!$D$2:$D$13,MATCH($B21,Книги!$A$2:$A$13,0)),"")</f>
        <v/>
      </c>
      <c r="H21" s="13" t="n">
        <v>46279</v>
      </c>
      <c r="I21" s="14">
        <f>$H21+Модель!$B$19</f>
        <v/>
      </c>
      <c r="J21" s="13" t="n"/>
      <c r="K21" s="12">
        <f>IF($J21="",IF(Модель!$B$20&gt;$I21,"Просрочено","На руках"),IF($J21&gt;$I21,"Возвращено с опозданием","Возвращено"))</f>
        <v/>
      </c>
      <c r="L21" s="11">
        <f>IF($J21="",MAX(0,Модель!$B$20-$I21),MAX(0,$J21-$I21))</f>
        <v/>
      </c>
    </row>
    <row r="22">
      <c r="A22" s="11" t="n">
        <v>21</v>
      </c>
      <c r="B22" s="10" t="inlineStr">
        <is>
          <t>K12</t>
        </is>
      </c>
      <c r="C22" s="12">
        <f>IFERROR(INDEX(Книги!$C$2:$C$13,MATCH($B22,Книги!$A$2:$A$13,0)),"нет такой книги")</f>
        <v/>
      </c>
      <c r="D22" s="10" t="inlineStr">
        <is>
          <t>R06</t>
        </is>
      </c>
      <c r="E22" s="12">
        <f>IFERROR(INDEX(Читатели!$B$2:$B$11,MATCH($D22,Читатели!$A$2:$A$11,0)),"нет читателя")</f>
        <v/>
      </c>
      <c r="F22" s="11">
        <f>IFERROR(INDEX(Читатели!$C$2:$C$11,MATCH($D22,Читатели!$A$2:$A$11,0)),"")</f>
        <v/>
      </c>
      <c r="G22" s="12">
        <f>IFERROR(INDEX(Книги!$D$2:$D$13,MATCH($B22,Книги!$A$2:$A$13,0)),"")</f>
        <v/>
      </c>
      <c r="H22" s="13" t="n">
        <v>46269</v>
      </c>
      <c r="I22" s="14">
        <f>$H22+Модель!$B$19</f>
        <v/>
      </c>
      <c r="J22" s="13" t="n">
        <v>46284</v>
      </c>
      <c r="K22" s="12">
        <f>IF($J22="",IF(Модель!$B$20&gt;$I22,"Просрочено","На руках"),IF($J22&gt;$I22,"Возвращено с опозданием","Возвращено"))</f>
        <v/>
      </c>
      <c r="L22" s="11">
        <f>IF($J22="",MAX(0,Модель!$B$20-$I22),MAX(0,$J22-$I22))</f>
        <v/>
      </c>
    </row>
    <row r="23">
      <c r="A23" s="11" t="n">
        <v>22</v>
      </c>
      <c r="B23" s="10" t="inlineStr">
        <is>
          <t>K12</t>
        </is>
      </c>
      <c r="C23" s="12">
        <f>IFERROR(INDEX(Книги!$C$2:$C$13,MATCH($B23,Книги!$A$2:$A$13,0)),"нет такой книги")</f>
        <v/>
      </c>
      <c r="D23" s="10" t="inlineStr">
        <is>
          <t>R09</t>
        </is>
      </c>
      <c r="E23" s="12">
        <f>IFERROR(INDEX(Читатели!$B$2:$B$11,MATCH($D23,Читатели!$A$2:$A$11,0)),"нет читателя")</f>
        <v/>
      </c>
      <c r="F23" s="11">
        <f>IFERROR(INDEX(Читатели!$C$2:$C$11,MATCH($D23,Читатели!$A$2:$A$11,0)),"")</f>
        <v/>
      </c>
      <c r="G23" s="12">
        <f>IFERROR(INDEX(Книги!$D$2:$D$13,MATCH($B23,Книги!$A$2:$A$13,0)),"")</f>
        <v/>
      </c>
      <c r="H23" s="13" t="n">
        <v>46281</v>
      </c>
      <c r="I23" s="14">
        <f>$H23+Модель!$B$19</f>
        <v/>
      </c>
      <c r="J23" s="13" t="n"/>
      <c r="K23" s="12">
        <f>IF($J23="",IF(Модель!$B$20&gt;$I23,"Просрочено","На руках"),IF($J23&gt;$I23,"Возвращено с опозданием","Возвращено"))</f>
        <v/>
      </c>
      <c r="L23" s="11">
        <f>IF($J23="",MAX(0,Модель!$B$20-$I23),MAX(0,$J23-$I23))</f>
        <v/>
      </c>
    </row>
    <row r="24">
      <c r="A24" s="11" t="n">
        <v>23</v>
      </c>
      <c r="B24" s="10" t="inlineStr">
        <is>
          <t>K01</t>
        </is>
      </c>
      <c r="C24" s="12">
        <f>IFERROR(INDEX(Книги!$C$2:$C$13,MATCH($B24,Книги!$A$2:$A$13,0)),"нет такой книги")</f>
        <v/>
      </c>
      <c r="D24" s="10" t="inlineStr">
        <is>
          <t>R10</t>
        </is>
      </c>
      <c r="E24" s="12">
        <f>IFERROR(INDEX(Читатели!$B$2:$B$11,MATCH($D24,Читатели!$A$2:$A$11,0)),"нет читателя")</f>
        <v/>
      </c>
      <c r="F24" s="11">
        <f>IFERROR(INDEX(Читатели!$C$2:$C$11,MATCH($D24,Читатели!$A$2:$A$11,0)),"")</f>
        <v/>
      </c>
      <c r="G24" s="12">
        <f>IFERROR(INDEX(Книги!$D$2:$D$13,MATCH($B24,Книги!$A$2:$A$13,0)),"")</f>
        <v/>
      </c>
      <c r="H24" s="13" t="n">
        <v>46281</v>
      </c>
      <c r="I24" s="14">
        <f>$H24+Модель!$B$19</f>
        <v/>
      </c>
      <c r="J24" s="13" t="n"/>
      <c r="K24" s="12">
        <f>IF($J24="",IF(Модель!$B$20&gt;$I24,"Просрочено","На руках"),IF($J24&gt;$I24,"Возвращено с опозданием","Возвращено"))</f>
        <v/>
      </c>
      <c r="L24" s="11">
        <f>IF($J24="",MAX(0,Модель!$B$20-$I24),MAX(0,$J24-$I24))</f>
        <v/>
      </c>
    </row>
    <row r="25">
      <c r="A25" s="11" t="n">
        <v>24</v>
      </c>
      <c r="B25" s="10" t="inlineStr">
        <is>
          <t>K04</t>
        </is>
      </c>
      <c r="C25" s="12">
        <f>IFERROR(INDEX(Книги!$C$2:$C$13,MATCH($B25,Книги!$A$2:$A$13,0)),"нет такой книги")</f>
        <v/>
      </c>
      <c r="D25" s="10" t="inlineStr">
        <is>
          <t>R07</t>
        </is>
      </c>
      <c r="E25" s="12">
        <f>IFERROR(INDEX(Читатели!$B$2:$B$11,MATCH($D25,Читатели!$A$2:$A$11,0)),"нет читателя")</f>
        <v/>
      </c>
      <c r="F25" s="11">
        <f>IFERROR(INDEX(Читатели!$C$2:$C$11,MATCH($D25,Читатели!$A$2:$A$11,0)),"")</f>
        <v/>
      </c>
      <c r="G25" s="12">
        <f>IFERROR(INDEX(Книги!$D$2:$D$13,MATCH($B25,Книги!$A$2:$A$13,0)),"")</f>
        <v/>
      </c>
      <c r="H25" s="13" t="n">
        <v>46282</v>
      </c>
      <c r="I25" s="14">
        <f>$H25+Модель!$B$19</f>
        <v/>
      </c>
      <c r="J25" s="13" t="n"/>
      <c r="K25" s="12">
        <f>IF($J25="",IF(Модель!$B$20&gt;$I25,"Просрочено","На руках"),IF($J25&gt;$I25,"Возвращено с опозданием","Возвращено"))</f>
        <v/>
      </c>
      <c r="L25" s="11">
        <f>IF($J25="",MAX(0,Модель!$B$20-$I25),MAX(0,$J25-$I25))</f>
        <v/>
      </c>
    </row>
    <row r="26">
      <c r="A26" s="11" t="n">
        <v>25</v>
      </c>
      <c r="B26" s="10" t="inlineStr">
        <is>
          <t>K05</t>
        </is>
      </c>
      <c r="C26" s="12">
        <f>IFERROR(INDEX(Книги!$C$2:$C$13,MATCH($B26,Книги!$A$2:$A$13,0)),"нет такой книги")</f>
        <v/>
      </c>
      <c r="D26" s="10" t="inlineStr">
        <is>
          <t>R09</t>
        </is>
      </c>
      <c r="E26" s="12">
        <f>IFERROR(INDEX(Читатели!$B$2:$B$11,MATCH($D26,Читатели!$A$2:$A$11,0)),"нет читателя")</f>
        <v/>
      </c>
      <c r="F26" s="11">
        <f>IFERROR(INDEX(Читатели!$C$2:$C$11,MATCH($D26,Читатели!$A$2:$A$11,0)),"")</f>
        <v/>
      </c>
      <c r="G26" s="12">
        <f>IFERROR(INDEX(Книги!$D$2:$D$13,MATCH($B26,Книги!$A$2:$A$13,0)),"")</f>
        <v/>
      </c>
      <c r="H26" s="13" t="n">
        <v>46283</v>
      </c>
      <c r="I26" s="14">
        <f>$H26+Модель!$B$19</f>
        <v/>
      </c>
      <c r="J26" s="13" t="n"/>
      <c r="K26" s="12">
        <f>IF($J26="",IF(Модель!$B$20&gt;$I26,"Просрочено","На руках"),IF($J26&gt;$I26,"Возвращено с опозданием","Возвращено"))</f>
        <v/>
      </c>
      <c r="L26" s="11">
        <f>IF($J26="",MAX(0,Модель!$B$20-$I26),MAX(0,$J26-$I26))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13" customWidth="1" min="3" max="3"/>
    <col width="13" customWidth="1" min="4" max="4"/>
    <col width="12" customWidth="1" min="5" max="5"/>
    <col width="22" customWidth="1" min="6" max="6"/>
  </cols>
  <sheetData>
    <row r="1">
      <c r="A1" s="15" t="inlineStr">
        <is>
          <t>Результаты моделирования</t>
        </is>
      </c>
    </row>
    <row r="2"/>
    <row r="3">
      <c r="A3" s="4" t="inlineStr">
        <is>
          <t>Общие показатели</t>
        </is>
      </c>
    </row>
    <row r="4">
      <c r="A4" s="5" t="inlineStr">
        <is>
          <t>Наименований книг в фонде</t>
        </is>
      </c>
      <c r="B4" s="11">
        <f>COUNTA(Книги!$A$2:$A$13)</f>
        <v/>
      </c>
    </row>
    <row r="5">
      <c r="A5" s="5" t="inlineStr">
        <is>
          <t>Всего экземпляров в фонде</t>
        </is>
      </c>
      <c r="B5" s="11">
        <f>SUM(Книги!$F$2:$F$13)</f>
        <v/>
      </c>
    </row>
    <row r="6">
      <c r="A6" s="5" t="inlineStr">
        <is>
          <t>Зарегистрировано читателей</t>
        </is>
      </c>
      <c r="B6" s="11">
        <f>COUNTA(Читатели!$A$2:$A$11)</f>
        <v/>
      </c>
    </row>
    <row r="7">
      <c r="A7" s="5" t="inlineStr">
        <is>
          <t>Всего записей о выдаче</t>
        </is>
      </c>
      <c r="B7" s="11">
        <f>COUNTA(Выдачи!$B$2:$B$26)</f>
        <v/>
      </c>
    </row>
    <row r="8">
      <c r="A8" s="5" t="inlineStr">
        <is>
          <t>Сейчас на руках (экз.)</t>
        </is>
      </c>
      <c r="B8" s="11">
        <f>COUNTIF(Выдачи!$K$2:$K$26,"На руках")+COUNTIF(Выдачи!$K$2:$K$26,"Просрочено")</f>
        <v/>
      </c>
    </row>
    <row r="9">
      <c r="A9" s="5" t="inlineStr">
        <is>
          <t>Из них просрочено</t>
        </is>
      </c>
      <c r="B9" s="11">
        <f>COUNTIF(Выдачи!$K$2:$K$26,"Просрочено")</f>
        <v/>
      </c>
    </row>
    <row r="10">
      <c r="A10" s="5" t="inlineStr">
        <is>
          <t>Возвращено вовремя</t>
        </is>
      </c>
      <c r="B10" s="11">
        <f>COUNTIF(Выдачи!$K$2:$K$26,"Возвращено")</f>
        <v/>
      </c>
    </row>
    <row r="11">
      <c r="A11" s="5" t="inlineStr">
        <is>
          <t>Возвращено с опозданием</t>
        </is>
      </c>
      <c r="B11" s="11">
        <f>COUNTIF(Выдачи!$K$2:$K$26,"Возвращено с опозданием")</f>
        <v/>
      </c>
    </row>
    <row r="12">
      <c r="A12" s="5" t="inlineStr">
        <is>
          <t>Доля возвратов с опозданием</t>
        </is>
      </c>
      <c r="B12" s="16">
        <f>IFERROR((COUNTIF(Выдачи!$K$2:$K$26,"Возвращено с опозданием"))/(COUNTIF(Выдачи!$K$2:$K$26,"Возвращено")+COUNTIF(Выдачи!$K$2:$K$26,"Возвращено с опозданием")),0)</f>
        <v/>
      </c>
    </row>
    <row r="13"/>
    <row r="14">
      <c r="A14" s="4" t="inlineStr">
        <is>
          <t>Занятость фонда по книгам</t>
        </is>
      </c>
    </row>
    <row r="15">
      <c r="A15" s="8" t="inlineStr">
        <is>
          <t>Код</t>
        </is>
      </c>
      <c r="B15" s="8" t="inlineStr">
        <is>
          <t>Название</t>
        </is>
      </c>
      <c r="C15" s="8" t="inlineStr">
        <is>
          <t>Всего экз.</t>
        </is>
      </c>
      <c r="D15" s="8" t="inlineStr">
        <is>
          <t>На руках</t>
        </is>
      </c>
      <c r="E15" s="8" t="inlineStr">
        <is>
          <t>Свободно</t>
        </is>
      </c>
      <c r="F15" s="8" t="inlineStr">
        <is>
          <t>Выдавалась всего, раз</t>
        </is>
      </c>
    </row>
    <row r="16">
      <c r="A16" s="11">
        <f>Книги!$A2</f>
        <v/>
      </c>
      <c r="B16" s="12">
        <f>Книги!$C2</f>
        <v/>
      </c>
      <c r="C16" s="11">
        <f>Книги!$F2</f>
        <v/>
      </c>
      <c r="D16" s="11">
        <f>COUNTIFS(Выдачи!$B$2:$B$26,$A16,Выдачи!$K$2:$K$26,"На руках")+COUNTIFS(Выдачи!$B$2:$B$26,$A16,Выдачи!$K$2:$K$26,"Просрочено")</f>
        <v/>
      </c>
      <c r="E16" s="11">
        <f>$C16-$D16</f>
        <v/>
      </c>
      <c r="F16" s="11">
        <f>COUNTIF(Выдачи!$B$2:$B$26,$A16)</f>
        <v/>
      </c>
    </row>
    <row r="17">
      <c r="A17" s="11">
        <f>Книги!$A3</f>
        <v/>
      </c>
      <c r="B17" s="12">
        <f>Книги!$C3</f>
        <v/>
      </c>
      <c r="C17" s="11">
        <f>Книги!$F3</f>
        <v/>
      </c>
      <c r="D17" s="11">
        <f>COUNTIFS(Выдачи!$B$2:$B$26,$A17,Выдачи!$K$2:$K$26,"На руках")+COUNTIFS(Выдачи!$B$2:$B$26,$A17,Выдачи!$K$2:$K$26,"Просрочено")</f>
        <v/>
      </c>
      <c r="E17" s="11">
        <f>$C17-$D17</f>
        <v/>
      </c>
      <c r="F17" s="11">
        <f>COUNTIF(Выдачи!$B$2:$B$26,$A17)</f>
        <v/>
      </c>
    </row>
    <row r="18">
      <c r="A18" s="11">
        <f>Книги!$A4</f>
        <v/>
      </c>
      <c r="B18" s="12">
        <f>Книги!$C4</f>
        <v/>
      </c>
      <c r="C18" s="11">
        <f>Книги!$F4</f>
        <v/>
      </c>
      <c r="D18" s="11">
        <f>COUNTIFS(Выдачи!$B$2:$B$26,$A18,Выдачи!$K$2:$K$26,"На руках")+COUNTIFS(Выдачи!$B$2:$B$26,$A18,Выдачи!$K$2:$K$26,"Просрочено")</f>
        <v/>
      </c>
      <c r="E18" s="11">
        <f>$C18-$D18</f>
        <v/>
      </c>
      <c r="F18" s="11">
        <f>COUNTIF(Выдачи!$B$2:$B$26,$A18)</f>
        <v/>
      </c>
    </row>
    <row r="19">
      <c r="A19" s="11">
        <f>Книги!$A5</f>
        <v/>
      </c>
      <c r="B19" s="12">
        <f>Книги!$C5</f>
        <v/>
      </c>
      <c r="C19" s="11">
        <f>Книги!$F5</f>
        <v/>
      </c>
      <c r="D19" s="11">
        <f>COUNTIFS(Выдачи!$B$2:$B$26,$A19,Выдачи!$K$2:$K$26,"На руках")+COUNTIFS(Выдачи!$B$2:$B$26,$A19,Выдачи!$K$2:$K$26,"Просрочено")</f>
        <v/>
      </c>
      <c r="E19" s="11">
        <f>$C19-$D19</f>
        <v/>
      </c>
      <c r="F19" s="11">
        <f>COUNTIF(Выдачи!$B$2:$B$26,$A19)</f>
        <v/>
      </c>
    </row>
    <row r="20">
      <c r="A20" s="11">
        <f>Книги!$A6</f>
        <v/>
      </c>
      <c r="B20" s="12">
        <f>Книги!$C6</f>
        <v/>
      </c>
      <c r="C20" s="11">
        <f>Книги!$F6</f>
        <v/>
      </c>
      <c r="D20" s="11">
        <f>COUNTIFS(Выдачи!$B$2:$B$26,$A20,Выдачи!$K$2:$K$26,"На руках")+COUNTIFS(Выдачи!$B$2:$B$26,$A20,Выдачи!$K$2:$K$26,"Просрочено")</f>
        <v/>
      </c>
      <c r="E20" s="11">
        <f>$C20-$D20</f>
        <v/>
      </c>
      <c r="F20" s="11">
        <f>COUNTIF(Выдачи!$B$2:$B$26,$A20)</f>
        <v/>
      </c>
    </row>
    <row r="21">
      <c r="A21" s="11">
        <f>Книги!$A7</f>
        <v/>
      </c>
      <c r="B21" s="12">
        <f>Книги!$C7</f>
        <v/>
      </c>
      <c r="C21" s="11">
        <f>Книги!$F7</f>
        <v/>
      </c>
      <c r="D21" s="11">
        <f>COUNTIFS(Выдачи!$B$2:$B$26,$A21,Выдачи!$K$2:$K$26,"На руках")+COUNTIFS(Выдачи!$B$2:$B$26,$A21,Выдачи!$K$2:$K$26,"Просрочено")</f>
        <v/>
      </c>
      <c r="E21" s="11">
        <f>$C21-$D21</f>
        <v/>
      </c>
      <c r="F21" s="11">
        <f>COUNTIF(Выдачи!$B$2:$B$26,$A21)</f>
        <v/>
      </c>
    </row>
    <row r="22">
      <c r="A22" s="11">
        <f>Книги!$A8</f>
        <v/>
      </c>
      <c r="B22" s="12">
        <f>Книги!$C8</f>
        <v/>
      </c>
      <c r="C22" s="11">
        <f>Книги!$F8</f>
        <v/>
      </c>
      <c r="D22" s="11">
        <f>COUNTIFS(Выдачи!$B$2:$B$26,$A22,Выдачи!$K$2:$K$26,"На руках")+COUNTIFS(Выдачи!$B$2:$B$26,$A22,Выдачи!$K$2:$K$26,"Просрочено")</f>
        <v/>
      </c>
      <c r="E22" s="11">
        <f>$C22-$D22</f>
        <v/>
      </c>
      <c r="F22" s="11">
        <f>COUNTIF(Выдачи!$B$2:$B$26,$A22)</f>
        <v/>
      </c>
    </row>
    <row r="23">
      <c r="A23" s="11">
        <f>Книги!$A9</f>
        <v/>
      </c>
      <c r="B23" s="12">
        <f>Книги!$C9</f>
        <v/>
      </c>
      <c r="C23" s="11">
        <f>Книги!$F9</f>
        <v/>
      </c>
      <c r="D23" s="11">
        <f>COUNTIFS(Выдачи!$B$2:$B$26,$A23,Выдачи!$K$2:$K$26,"На руках")+COUNTIFS(Выдачи!$B$2:$B$26,$A23,Выдачи!$K$2:$K$26,"Просрочено")</f>
        <v/>
      </c>
      <c r="E23" s="11">
        <f>$C23-$D23</f>
        <v/>
      </c>
      <c r="F23" s="11">
        <f>COUNTIF(Выдачи!$B$2:$B$26,$A23)</f>
        <v/>
      </c>
    </row>
    <row r="24">
      <c r="A24" s="11">
        <f>Книги!$A10</f>
        <v/>
      </c>
      <c r="B24" s="12">
        <f>Книги!$C10</f>
        <v/>
      </c>
      <c r="C24" s="11">
        <f>Книги!$F10</f>
        <v/>
      </c>
      <c r="D24" s="11">
        <f>COUNTIFS(Выдачи!$B$2:$B$26,$A24,Выдачи!$K$2:$K$26,"На руках")+COUNTIFS(Выдачи!$B$2:$B$26,$A24,Выдачи!$K$2:$K$26,"Просрочено")</f>
        <v/>
      </c>
      <c r="E24" s="11">
        <f>$C24-$D24</f>
        <v/>
      </c>
      <c r="F24" s="11">
        <f>COUNTIF(Выдачи!$B$2:$B$26,$A24)</f>
        <v/>
      </c>
    </row>
    <row r="25">
      <c r="A25" s="11">
        <f>Книги!$A11</f>
        <v/>
      </c>
      <c r="B25" s="12">
        <f>Книги!$C11</f>
        <v/>
      </c>
      <c r="C25" s="11">
        <f>Книги!$F11</f>
        <v/>
      </c>
      <c r="D25" s="11">
        <f>COUNTIFS(Выдачи!$B$2:$B$26,$A25,Выдачи!$K$2:$K$26,"На руках")+COUNTIFS(Выдачи!$B$2:$B$26,$A25,Выдачи!$K$2:$K$26,"Просрочено")</f>
        <v/>
      </c>
      <c r="E25" s="11">
        <f>$C25-$D25</f>
        <v/>
      </c>
      <c r="F25" s="11">
        <f>COUNTIF(Выдачи!$B$2:$B$26,$A25)</f>
        <v/>
      </c>
    </row>
    <row r="26">
      <c r="A26" s="11">
        <f>Книги!$A12</f>
        <v/>
      </c>
      <c r="B26" s="12">
        <f>Книги!$C12</f>
        <v/>
      </c>
      <c r="C26" s="11">
        <f>Книги!$F12</f>
        <v/>
      </c>
      <c r="D26" s="11">
        <f>COUNTIFS(Выдачи!$B$2:$B$26,$A26,Выдачи!$K$2:$K$26,"На руках")+COUNTIFS(Выдачи!$B$2:$B$26,$A26,Выдачи!$K$2:$K$26,"Просрочено")</f>
        <v/>
      </c>
      <c r="E26" s="11">
        <f>$C26-$D26</f>
        <v/>
      </c>
      <c r="F26" s="11">
        <f>COUNTIF(Выдачи!$B$2:$B$26,$A26)</f>
        <v/>
      </c>
    </row>
    <row r="27">
      <c r="A27" s="11">
        <f>Книги!$A13</f>
        <v/>
      </c>
      <c r="B27" s="12">
        <f>Книги!$C13</f>
        <v/>
      </c>
      <c r="C27" s="11">
        <f>Книги!$F13</f>
        <v/>
      </c>
      <c r="D27" s="11">
        <f>COUNTIFS(Выдачи!$B$2:$B$26,$A27,Выдачи!$K$2:$K$26,"На руках")+COUNTIFS(Выдачи!$B$2:$B$26,$A27,Выдачи!$K$2:$K$26,"Просрочено")</f>
        <v/>
      </c>
      <c r="E27" s="11">
        <f>$C27-$D27</f>
        <v/>
      </c>
      <c r="F27" s="11">
        <f>COUNTIF(Выдачи!$B$2:$B$26,$A27)</f>
        <v/>
      </c>
    </row>
    <row r="28">
      <c r="B28" s="4" t="inlineStr">
        <is>
          <t>Итого</t>
        </is>
      </c>
      <c r="C28" s="17">
        <f>SUM(C16:C27)</f>
        <v/>
      </c>
      <c r="D28" s="17">
        <f>SUM(D16:D27)</f>
        <v/>
      </c>
      <c r="E28" s="17">
        <f>SUM(E16:E27)</f>
        <v/>
      </c>
      <c r="F28" s="17">
        <f>SUM(F16:F27)</f>
        <v/>
      </c>
    </row>
    <row r="29"/>
    <row r="30">
      <c r="A30" s="4" t="inlineStr">
        <is>
          <t>Спрос по разделам фонда</t>
        </is>
      </c>
    </row>
    <row r="31">
      <c r="A31" s="18" t="inlineStr">
        <is>
          <t>Раздел</t>
        </is>
      </c>
      <c r="B31" s="18" t="inlineStr">
        <is>
          <t>Выдач всего</t>
        </is>
      </c>
      <c r="C31" s="18" t="inlineStr">
        <is>
          <t>Сейчас на руках</t>
        </is>
      </c>
    </row>
    <row r="32">
      <c r="A32" s="9" t="inlineStr">
        <is>
          <t>Классика</t>
        </is>
      </c>
      <c r="B32" s="11">
        <f>COUNTIF(Выдачи!$G$2:$G$26,$A32)</f>
        <v/>
      </c>
      <c r="C32" s="11">
        <f>COUNTIFS(Выдачи!$G$2:$G$26,$A32,Выдачи!$K$2:$K$26,"На руках")+COUNTIFS(Выдачи!$G$2:$G$26,$A32,Выдачи!$K$2:$K$26,"Просрочено")</f>
        <v/>
      </c>
    </row>
    <row r="33">
      <c r="A33" s="9" t="inlineStr">
        <is>
          <t>Учебники</t>
        </is>
      </c>
      <c r="B33" s="11">
        <f>COUNTIF(Выдачи!$G$2:$G$26,$A33)</f>
        <v/>
      </c>
      <c r="C33" s="11">
        <f>COUNTIFS(Выдачи!$G$2:$G$26,$A33,Выдачи!$K$2:$K$26,"На руках")+COUNTIFS(Выдачи!$G$2:$G$26,$A33,Выдачи!$K$2:$K$26,"Просрочено")</f>
        <v/>
      </c>
    </row>
    <row r="34">
      <c r="A34" s="9" t="inlineStr">
        <is>
          <t>Научно-популярная</t>
        </is>
      </c>
      <c r="B34" s="11">
        <f>COUNTIF(Выдачи!$G$2:$G$26,$A34)</f>
        <v/>
      </c>
      <c r="C34" s="11">
        <f>COUNTIFS(Выдачи!$G$2:$G$26,$A34,Выдачи!$K$2:$K$26,"На руках")+COUNTIFS(Выдачи!$G$2:$G$26,$A34,Выдачи!$K$2:$K$26,"Просрочено")</f>
        <v/>
      </c>
    </row>
    <row r="35">
      <c r="A35" s="9" t="inlineStr">
        <is>
          <t>Зарубежная проза</t>
        </is>
      </c>
      <c r="B35" s="11">
        <f>COUNTIF(Выдачи!$G$2:$G$26,$A35)</f>
        <v/>
      </c>
      <c r="C35" s="11">
        <f>COUNTIFS(Выдачи!$G$2:$G$26,$A35,Выдачи!$K$2:$K$26,"На руках")+COUNTIFS(Выдачи!$G$2:$G$26,$A35,Выдачи!$K$2:$K$26,"Просрочено")</f>
        <v/>
      </c>
    </row>
    <row r="36"/>
    <row r="37">
      <c r="A37" s="4" t="inlineStr">
        <is>
          <t>Активность классов</t>
        </is>
      </c>
    </row>
    <row r="38">
      <c r="A38" s="18" t="inlineStr">
        <is>
          <t>Класс</t>
        </is>
      </c>
      <c r="B38" s="18" t="inlineStr">
        <is>
          <t>Выдач всего</t>
        </is>
      </c>
      <c r="C38" s="18" t="inlineStr">
        <is>
          <t>Читателей в базе</t>
        </is>
      </c>
    </row>
    <row r="39">
      <c r="A39" s="9" t="inlineStr">
        <is>
          <t>9В</t>
        </is>
      </c>
      <c r="B39" s="11">
        <f>COUNTIF(Выдачи!$F$2:$F$26,$A39)</f>
        <v/>
      </c>
      <c r="C39" s="11">
        <f>COUNTIF(Читатели!$C$2:$C$11,$A39)</f>
        <v/>
      </c>
    </row>
    <row r="40">
      <c r="A40" s="9" t="inlineStr">
        <is>
          <t>10А</t>
        </is>
      </c>
      <c r="B40" s="11">
        <f>COUNTIF(Выдачи!$F$2:$F$26,$A40)</f>
        <v/>
      </c>
      <c r="C40" s="11">
        <f>COUNTIF(Читатели!$C$2:$C$11,$A40)</f>
        <v/>
      </c>
    </row>
    <row r="41">
      <c r="A41" s="9" t="inlineStr">
        <is>
          <t>10Б</t>
        </is>
      </c>
      <c r="B41" s="11">
        <f>COUNTIF(Выдачи!$F$2:$F$26,$A41)</f>
        <v/>
      </c>
      <c r="C41" s="11">
        <f>COUNTIF(Читатели!$C$2:$C$11,$A41)</f>
        <v/>
      </c>
    </row>
    <row r="42">
      <c r="A42" s="9" t="inlineStr">
        <is>
          <t>11А</t>
        </is>
      </c>
      <c r="B42" s="11">
        <f>COUNTIF(Выдачи!$F$2:$F$26,$A42)</f>
        <v/>
      </c>
      <c r="C42" s="11">
        <f>COUNTIF(Читатели!$C$2:$C$11,$A42)</f>
        <v/>
      </c>
    </row>
    <row r="43">
      <c r="A43" s="9" t="inlineStr">
        <is>
          <t>11Б</t>
        </is>
      </c>
      <c r="B43" s="11">
        <f>COUNTIF(Выдачи!$F$2:$F$26,$A43)</f>
        <v/>
      </c>
      <c r="C43" s="11">
        <f>COUNTIF(Читатели!$C$2:$C$11,$A43)</f>
        <v/>
      </c>
    </row>
    <row r="44"/>
    <row r="45">
      <c r="A45" s="5" t="inlineStr">
        <is>
          <t>Все показатели рассчитаны формулами по листам «Книги», «Читатели», «Выдачи»; при изменении исходных данных или параметров на листе «Модель» они пересчитываются автоматически.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2026-09-20T12:03:22Z</dcterms:created>
  <dcterms:modified xsi:type="dcterms:W3CDTF">2026-09-20T12:03:22Z</dcterms:modified>
</cp:coreProperties>
</file>